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oisir\Code_python\0_Documentation\"/>
    </mc:Choice>
  </mc:AlternateContent>
  <xr:revisionPtr revIDLastSave="0" documentId="13_ncr:1_{5AD0B113-4E08-475F-A095-1CB27F860F18}" xr6:coauthVersionLast="47" xr6:coauthVersionMax="47" xr10:uidLastSave="{00000000-0000-0000-0000-000000000000}"/>
  <bookViews>
    <workbookView xWindow="-108" yWindow="-108" windowWidth="23256" windowHeight="12456" xr2:uid="{82ACDC10-57E1-4C26-85B3-A49861BA5C9C}"/>
  </bookViews>
  <sheets>
    <sheet name="Feuil1 (2)" sheetId="4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166" i="4" l="1"/>
  <c r="F13" i="4"/>
  <c r="J13" i="4"/>
  <c r="T326" i="1"/>
  <c r="T325" i="1"/>
  <c r="T324" i="1"/>
  <c r="T323" i="1"/>
  <c r="T322" i="1"/>
  <c r="T321" i="1"/>
  <c r="T320" i="1"/>
  <c r="T319" i="1"/>
  <c r="T313" i="1"/>
  <c r="B313" i="1"/>
  <c r="T312" i="1"/>
  <c r="B312" i="1"/>
  <c r="T311" i="1"/>
  <c r="B311" i="1"/>
  <c r="T310" i="1"/>
  <c r="B310" i="1"/>
  <c r="T309" i="1"/>
  <c r="B309" i="1"/>
  <c r="T308" i="1"/>
  <c r="B308" i="1"/>
  <c r="T307" i="1"/>
  <c r="B307" i="1"/>
  <c r="T306" i="1"/>
  <c r="Q306" i="1"/>
  <c r="R306" i="1" s="1"/>
  <c r="B306" i="1"/>
  <c r="Q305" i="1"/>
  <c r="R305" i="1" s="1"/>
  <c r="T298" i="1"/>
  <c r="B298" i="1"/>
  <c r="T297" i="1"/>
  <c r="B297" i="1"/>
  <c r="T296" i="1"/>
  <c r="B296" i="1"/>
  <c r="T295" i="1"/>
  <c r="B295" i="1"/>
  <c r="T294" i="1"/>
  <c r="G294" i="1"/>
  <c r="Y294" i="1" s="1"/>
  <c r="C294" i="1"/>
  <c r="U294" i="1" s="1"/>
  <c r="B294" i="1"/>
  <c r="Y293" i="1"/>
  <c r="U293" i="1"/>
  <c r="V292" i="1" s="1"/>
  <c r="W292" i="1" s="1"/>
  <c r="T293" i="1"/>
  <c r="G293" i="1"/>
  <c r="C293" i="1"/>
  <c r="B293" i="1"/>
  <c r="Y292" i="1"/>
  <c r="U292" i="1"/>
  <c r="T292" i="1"/>
  <c r="K292" i="1"/>
  <c r="AC292" i="1" s="1"/>
  <c r="G292" i="1"/>
  <c r="C292" i="1"/>
  <c r="B292" i="1"/>
  <c r="D292" i="1" s="1"/>
  <c r="E292" i="1" s="1"/>
  <c r="AC291" i="1"/>
  <c r="Y291" i="1"/>
  <c r="T291" i="1"/>
  <c r="K291" i="1"/>
  <c r="G291" i="1"/>
  <c r="C291" i="1"/>
  <c r="B291" i="1"/>
  <c r="T284" i="1"/>
  <c r="T283" i="1"/>
  <c r="T282" i="1"/>
  <c r="T281" i="1"/>
  <c r="T280" i="1"/>
  <c r="T279" i="1"/>
  <c r="T278" i="1"/>
  <c r="T277" i="1"/>
  <c r="T271" i="1"/>
  <c r="B271" i="1"/>
  <c r="T270" i="1"/>
  <c r="B270" i="1"/>
  <c r="T269" i="1"/>
  <c r="B269" i="1"/>
  <c r="T268" i="1"/>
  <c r="B268" i="1"/>
  <c r="T267" i="1"/>
  <c r="B267" i="1"/>
  <c r="T266" i="1"/>
  <c r="B266" i="1"/>
  <c r="T265" i="1"/>
  <c r="B265" i="1"/>
  <c r="T264" i="1"/>
  <c r="Q264" i="1"/>
  <c r="R264" i="1" s="1"/>
  <c r="B264" i="1"/>
  <c r="Q263" i="1"/>
  <c r="R263" i="1" s="1"/>
  <c r="T256" i="1"/>
  <c r="B256" i="1"/>
  <c r="T255" i="1"/>
  <c r="B255" i="1"/>
  <c r="T254" i="1"/>
  <c r="B254" i="1"/>
  <c r="T253" i="1"/>
  <c r="B253" i="1"/>
  <c r="T252" i="1"/>
  <c r="G252" i="1"/>
  <c r="Y252" i="1" s="1"/>
  <c r="C252" i="1"/>
  <c r="U252" i="1" s="1"/>
  <c r="B252" i="1"/>
  <c r="Y251" i="1"/>
  <c r="U251" i="1"/>
  <c r="V250" i="1" s="1"/>
  <c r="W250" i="1" s="1"/>
  <c r="T251" i="1"/>
  <c r="G251" i="1"/>
  <c r="C251" i="1"/>
  <c r="B251" i="1"/>
  <c r="Y250" i="1"/>
  <c r="U250" i="1"/>
  <c r="T250" i="1"/>
  <c r="K250" i="1"/>
  <c r="AC250" i="1" s="1"/>
  <c r="G250" i="1"/>
  <c r="C250" i="1"/>
  <c r="B250" i="1"/>
  <c r="D250" i="1" s="1"/>
  <c r="E250" i="1" s="1"/>
  <c r="AC249" i="1"/>
  <c r="Y249" i="1"/>
  <c r="T249" i="1"/>
  <c r="K249" i="1"/>
  <c r="G249" i="1"/>
  <c r="C249" i="1"/>
  <c r="B249" i="1"/>
  <c r="T243" i="1"/>
  <c r="T242" i="1"/>
  <c r="T241" i="1"/>
  <c r="T240" i="1"/>
  <c r="T239" i="1"/>
  <c r="T238" i="1"/>
  <c r="T237" i="1"/>
  <c r="T236" i="1"/>
  <c r="T230" i="1"/>
  <c r="B230" i="1"/>
  <c r="T229" i="1"/>
  <c r="B229" i="1"/>
  <c r="T228" i="1"/>
  <c r="B228" i="1"/>
  <c r="T227" i="1"/>
  <c r="B227" i="1"/>
  <c r="T226" i="1"/>
  <c r="B226" i="1"/>
  <c r="T225" i="1"/>
  <c r="B225" i="1"/>
  <c r="T224" i="1"/>
  <c r="B224" i="1"/>
  <c r="T223" i="1"/>
  <c r="Q223" i="1"/>
  <c r="R223" i="1" s="1"/>
  <c r="B223" i="1"/>
  <c r="Q222" i="1"/>
  <c r="R222" i="1" s="1"/>
  <c r="T215" i="1"/>
  <c r="B215" i="1"/>
  <c r="T214" i="1"/>
  <c r="B214" i="1"/>
  <c r="T213" i="1"/>
  <c r="B213" i="1"/>
  <c r="T212" i="1"/>
  <c r="B212" i="1"/>
  <c r="T211" i="1"/>
  <c r="G211" i="1"/>
  <c r="Y211" i="1" s="1"/>
  <c r="C211" i="1"/>
  <c r="U211" i="1" s="1"/>
  <c r="B211" i="1"/>
  <c r="Y210" i="1"/>
  <c r="U210" i="1"/>
  <c r="V209" i="1" s="1"/>
  <c r="W209" i="1" s="1"/>
  <c r="T210" i="1"/>
  <c r="G210" i="1"/>
  <c r="C210" i="1"/>
  <c r="B210" i="1"/>
  <c r="Y209" i="1"/>
  <c r="U209" i="1"/>
  <c r="T209" i="1"/>
  <c r="K209" i="1"/>
  <c r="G209" i="1"/>
  <c r="C209" i="1"/>
  <c r="B209" i="1"/>
  <c r="D209" i="1" s="1"/>
  <c r="E209" i="1" s="1"/>
  <c r="AC208" i="1"/>
  <c r="Y208" i="1"/>
  <c r="T208" i="1"/>
  <c r="K208" i="1"/>
  <c r="G208" i="1"/>
  <c r="C208" i="1"/>
  <c r="B208" i="1"/>
  <c r="T202" i="1"/>
  <c r="T201" i="1"/>
  <c r="T200" i="1"/>
  <c r="T199" i="1"/>
  <c r="T198" i="1"/>
  <c r="T197" i="1"/>
  <c r="T196" i="1"/>
  <c r="T195" i="1"/>
  <c r="T189" i="1"/>
  <c r="B189" i="1"/>
  <c r="T188" i="1"/>
  <c r="B188" i="1"/>
  <c r="T187" i="1"/>
  <c r="B187" i="1"/>
  <c r="T186" i="1"/>
  <c r="B186" i="1"/>
  <c r="T185" i="1"/>
  <c r="B185" i="1"/>
  <c r="T184" i="1"/>
  <c r="B184" i="1"/>
  <c r="T183" i="1"/>
  <c r="B183" i="1"/>
  <c r="T182" i="1"/>
  <c r="Q182" i="1"/>
  <c r="R182" i="1" s="1"/>
  <c r="B182" i="1"/>
  <c r="Q181" i="1"/>
  <c r="R181" i="1" s="1"/>
  <c r="T174" i="1"/>
  <c r="B174" i="1"/>
  <c r="T173" i="1"/>
  <c r="B173" i="1"/>
  <c r="T172" i="1"/>
  <c r="B172" i="1"/>
  <c r="T171" i="1"/>
  <c r="B171" i="1"/>
  <c r="T170" i="1"/>
  <c r="G170" i="1"/>
  <c r="Y170" i="1" s="1"/>
  <c r="C170" i="1"/>
  <c r="U170" i="1" s="1"/>
  <c r="B170" i="1"/>
  <c r="Y169" i="1"/>
  <c r="U169" i="1"/>
  <c r="V168" i="1" s="1"/>
  <c r="W168" i="1" s="1"/>
  <c r="T169" i="1"/>
  <c r="G169" i="1"/>
  <c r="C169" i="1"/>
  <c r="B169" i="1"/>
  <c r="Y168" i="1"/>
  <c r="U168" i="1"/>
  <c r="T168" i="1"/>
  <c r="K168" i="1"/>
  <c r="AC168" i="1" s="1"/>
  <c r="G168" i="1"/>
  <c r="C168" i="1"/>
  <c r="B168" i="1"/>
  <c r="D168" i="1" s="1"/>
  <c r="E168" i="1" s="1"/>
  <c r="AC167" i="1"/>
  <c r="Y167" i="1"/>
  <c r="T167" i="1"/>
  <c r="K167" i="1"/>
  <c r="G167" i="1"/>
  <c r="C167" i="1"/>
  <c r="B167" i="1"/>
  <c r="T161" i="1"/>
  <c r="T160" i="1"/>
  <c r="T159" i="1"/>
  <c r="T158" i="1"/>
  <c r="T157" i="1"/>
  <c r="T156" i="1"/>
  <c r="T155" i="1"/>
  <c r="T154" i="1"/>
  <c r="T148" i="1"/>
  <c r="B148" i="1"/>
  <c r="T147" i="1"/>
  <c r="B147" i="1"/>
  <c r="T146" i="1"/>
  <c r="B146" i="1"/>
  <c r="T145" i="1"/>
  <c r="B145" i="1"/>
  <c r="T144" i="1"/>
  <c r="B144" i="1"/>
  <c r="T143" i="1"/>
  <c r="B143" i="1"/>
  <c r="T142" i="1"/>
  <c r="B142" i="1"/>
  <c r="T141" i="1"/>
  <c r="Q141" i="1"/>
  <c r="R141" i="1" s="1"/>
  <c r="B141" i="1"/>
  <c r="Q140" i="1"/>
  <c r="R140" i="1" s="1"/>
  <c r="T133" i="1"/>
  <c r="B133" i="1"/>
  <c r="T132" i="1"/>
  <c r="B132" i="1"/>
  <c r="T131" i="1"/>
  <c r="B131" i="1"/>
  <c r="T130" i="1"/>
  <c r="B130" i="1"/>
  <c r="T129" i="1"/>
  <c r="G129" i="1"/>
  <c r="Y129" i="1" s="1"/>
  <c r="C129" i="1"/>
  <c r="U129" i="1" s="1"/>
  <c r="B129" i="1"/>
  <c r="Y128" i="1"/>
  <c r="U128" i="1"/>
  <c r="V127" i="1" s="1"/>
  <c r="W127" i="1" s="1"/>
  <c r="T128" i="1"/>
  <c r="G128" i="1"/>
  <c r="C128" i="1"/>
  <c r="B128" i="1"/>
  <c r="Y127" i="1"/>
  <c r="U127" i="1"/>
  <c r="T127" i="1"/>
  <c r="K127" i="1"/>
  <c r="AC127" i="1" s="1"/>
  <c r="G127" i="1"/>
  <c r="C127" i="1"/>
  <c r="B127" i="1"/>
  <c r="D127" i="1" s="1"/>
  <c r="E127" i="1" s="1"/>
  <c r="AC126" i="1"/>
  <c r="Y126" i="1"/>
  <c r="T126" i="1"/>
  <c r="K126" i="1"/>
  <c r="G126" i="1"/>
  <c r="C126" i="1"/>
  <c r="B126" i="1"/>
  <c r="T120" i="1"/>
  <c r="T119" i="1"/>
  <c r="T118" i="1"/>
  <c r="T117" i="1"/>
  <c r="T116" i="1"/>
  <c r="T115" i="1"/>
  <c r="T114" i="1"/>
  <c r="T113" i="1"/>
  <c r="T107" i="1"/>
  <c r="B107" i="1"/>
  <c r="T106" i="1"/>
  <c r="B106" i="1"/>
  <c r="T105" i="1"/>
  <c r="B105" i="1"/>
  <c r="T104" i="1"/>
  <c r="B104" i="1"/>
  <c r="T103" i="1"/>
  <c r="B103" i="1"/>
  <c r="T102" i="1"/>
  <c r="B102" i="1"/>
  <c r="T101" i="1"/>
  <c r="B101" i="1"/>
  <c r="T100" i="1"/>
  <c r="Q100" i="1"/>
  <c r="R100" i="1" s="1"/>
  <c r="B100" i="1"/>
  <c r="Q99" i="1"/>
  <c r="R99" i="1" s="1"/>
  <c r="T92" i="1"/>
  <c r="B92" i="1"/>
  <c r="T91" i="1"/>
  <c r="B91" i="1"/>
  <c r="T90" i="1"/>
  <c r="B90" i="1"/>
  <c r="T89" i="1"/>
  <c r="B89" i="1"/>
  <c r="T88" i="1"/>
  <c r="G88" i="1"/>
  <c r="Y88" i="1" s="1"/>
  <c r="C88" i="1"/>
  <c r="U88" i="1" s="1"/>
  <c r="B88" i="1"/>
  <c r="Y87" i="1"/>
  <c r="U87" i="1"/>
  <c r="V86" i="1" s="1"/>
  <c r="W86" i="1" s="1"/>
  <c r="T87" i="1"/>
  <c r="G87" i="1"/>
  <c r="C87" i="1"/>
  <c r="B87" i="1"/>
  <c r="Y86" i="1"/>
  <c r="U86" i="1"/>
  <c r="T86" i="1"/>
  <c r="K86" i="1"/>
  <c r="AC86" i="1" s="1"/>
  <c r="G86" i="1"/>
  <c r="C86" i="1"/>
  <c r="B86" i="1"/>
  <c r="D86" i="1" s="1"/>
  <c r="E86" i="1" s="1"/>
  <c r="AC85" i="1"/>
  <c r="Y85" i="1"/>
  <c r="T85" i="1"/>
  <c r="K85" i="1"/>
  <c r="G85" i="1"/>
  <c r="C85" i="1"/>
  <c r="B85" i="1"/>
  <c r="J53" i="1"/>
  <c r="K45" i="1"/>
  <c r="AC45" i="1" s="1"/>
  <c r="K44" i="1"/>
  <c r="AC32" i="1"/>
  <c r="G45" i="1"/>
  <c r="Y45" i="1" s="1"/>
  <c r="G46" i="1"/>
  <c r="G47" i="1"/>
  <c r="G44" i="1"/>
  <c r="C45" i="1"/>
  <c r="C46" i="1"/>
  <c r="C47" i="1"/>
  <c r="C44" i="1"/>
  <c r="U44" i="1" s="1"/>
  <c r="T79" i="1"/>
  <c r="T78" i="1"/>
  <c r="T77" i="1"/>
  <c r="T76" i="1"/>
  <c r="T75" i="1"/>
  <c r="T74" i="1"/>
  <c r="T73" i="1"/>
  <c r="T72" i="1"/>
  <c r="T66" i="1"/>
  <c r="B66" i="1"/>
  <c r="T65" i="1"/>
  <c r="B65" i="1"/>
  <c r="T64" i="1"/>
  <c r="B64" i="1"/>
  <c r="T63" i="1"/>
  <c r="B63" i="1"/>
  <c r="T62" i="1"/>
  <c r="B62" i="1"/>
  <c r="T61" i="1"/>
  <c r="B61" i="1"/>
  <c r="T60" i="1"/>
  <c r="B60" i="1"/>
  <c r="T59" i="1"/>
  <c r="Q59" i="1"/>
  <c r="R59" i="1" s="1"/>
  <c r="B59" i="1"/>
  <c r="Q58" i="1"/>
  <c r="R58" i="1" s="1"/>
  <c r="T51" i="1"/>
  <c r="B51" i="1"/>
  <c r="T50" i="1"/>
  <c r="B50" i="1"/>
  <c r="T49" i="1"/>
  <c r="B49" i="1"/>
  <c r="T48" i="1"/>
  <c r="B48" i="1"/>
  <c r="Y47" i="1"/>
  <c r="U47" i="1"/>
  <c r="T47" i="1"/>
  <c r="B47" i="1"/>
  <c r="Y46" i="1"/>
  <c r="U46" i="1"/>
  <c r="T46" i="1"/>
  <c r="B46" i="1"/>
  <c r="U45" i="1"/>
  <c r="T45" i="1"/>
  <c r="B45" i="1"/>
  <c r="AC44" i="1"/>
  <c r="Y44" i="1"/>
  <c r="T44" i="1"/>
  <c r="B44" i="1"/>
  <c r="AC33" i="1"/>
  <c r="Y34" i="1"/>
  <c r="U35" i="1"/>
  <c r="U34" i="1"/>
  <c r="U33" i="1"/>
  <c r="C19" i="1"/>
  <c r="U4" i="1"/>
  <c r="C21" i="1"/>
  <c r="D19" i="1"/>
  <c r="U19" i="1"/>
  <c r="U32" i="1" s="1"/>
  <c r="T26" i="1"/>
  <c r="T25" i="1"/>
  <c r="T24" i="1"/>
  <c r="T23" i="1"/>
  <c r="Y22" i="1"/>
  <c r="U22" i="1"/>
  <c r="T22" i="1"/>
  <c r="Y21" i="1"/>
  <c r="U21" i="1"/>
  <c r="T21" i="1"/>
  <c r="AC20" i="1"/>
  <c r="Y20" i="1"/>
  <c r="U20" i="1"/>
  <c r="T20" i="1"/>
  <c r="AC19" i="1"/>
  <c r="Y19" i="1"/>
  <c r="T19" i="1"/>
  <c r="K19" i="1"/>
  <c r="AB13" i="1"/>
  <c r="J13" i="1"/>
  <c r="AC5" i="1"/>
  <c r="AC4" i="1"/>
  <c r="Y4" i="1"/>
  <c r="Y5" i="1"/>
  <c r="Y6" i="1"/>
  <c r="Y7" i="1"/>
  <c r="U5" i="1"/>
  <c r="U6" i="1"/>
  <c r="U7" i="1"/>
  <c r="Q6" i="1"/>
  <c r="M4" i="4"/>
  <c r="T1172" i="4"/>
  <c r="T1171" i="4"/>
  <c r="T1170" i="4"/>
  <c r="T1169" i="4"/>
  <c r="T1168" i="4"/>
  <c r="T1167" i="4"/>
  <c r="T1166" i="4"/>
  <c r="T1165" i="4"/>
  <c r="T1158" i="4"/>
  <c r="T1157" i="4"/>
  <c r="T1156" i="4"/>
  <c r="T1155" i="4"/>
  <c r="T1154" i="4"/>
  <c r="T1153" i="4"/>
  <c r="T1152" i="4"/>
  <c r="T1151" i="4"/>
  <c r="T1141" i="4"/>
  <c r="T1140" i="4"/>
  <c r="T1139" i="4"/>
  <c r="T1138" i="4"/>
  <c r="T1137" i="4"/>
  <c r="T1136" i="4"/>
  <c r="T1135" i="4"/>
  <c r="T1134" i="4"/>
  <c r="T1127" i="4"/>
  <c r="T1126" i="4"/>
  <c r="T1125" i="4"/>
  <c r="T1124" i="4"/>
  <c r="T1123" i="4"/>
  <c r="T1122" i="4"/>
  <c r="T1121" i="4"/>
  <c r="T1120" i="4"/>
  <c r="T1110" i="4"/>
  <c r="T1109" i="4"/>
  <c r="T1108" i="4"/>
  <c r="T1107" i="4"/>
  <c r="T1106" i="4"/>
  <c r="T1105" i="4"/>
  <c r="T1104" i="4"/>
  <c r="T1103" i="4"/>
  <c r="T1096" i="4"/>
  <c r="T1095" i="4"/>
  <c r="T1094" i="4"/>
  <c r="T1093" i="4"/>
  <c r="T1092" i="4"/>
  <c r="T1091" i="4"/>
  <c r="T1090" i="4"/>
  <c r="T1089" i="4"/>
  <c r="T1079" i="4"/>
  <c r="T1078" i="4"/>
  <c r="T1077" i="4"/>
  <c r="T1076" i="4"/>
  <c r="T1075" i="4"/>
  <c r="T1074" i="4"/>
  <c r="T1073" i="4"/>
  <c r="T1072" i="4"/>
  <c r="T1065" i="4"/>
  <c r="T1064" i="4"/>
  <c r="T1063" i="4"/>
  <c r="T1062" i="4"/>
  <c r="T1061" i="4"/>
  <c r="T1060" i="4"/>
  <c r="T1059" i="4"/>
  <c r="T1058" i="4"/>
  <c r="T1048" i="4"/>
  <c r="T1047" i="4"/>
  <c r="T1046" i="4"/>
  <c r="T1045" i="4"/>
  <c r="T1044" i="4"/>
  <c r="T1043" i="4"/>
  <c r="T1042" i="4"/>
  <c r="T1041" i="4"/>
  <c r="T1034" i="4"/>
  <c r="T1033" i="4"/>
  <c r="T1032" i="4"/>
  <c r="T1031" i="4"/>
  <c r="T1030" i="4"/>
  <c r="T1029" i="4"/>
  <c r="T1028" i="4"/>
  <c r="T1027" i="4"/>
  <c r="T1017" i="4"/>
  <c r="T1016" i="4"/>
  <c r="T1015" i="4"/>
  <c r="T1014" i="4"/>
  <c r="T1013" i="4"/>
  <c r="T1012" i="4"/>
  <c r="T1011" i="4"/>
  <c r="T1010" i="4"/>
  <c r="T1003" i="4"/>
  <c r="T1002" i="4"/>
  <c r="T1001" i="4"/>
  <c r="T1000" i="4"/>
  <c r="T999" i="4"/>
  <c r="T998" i="4"/>
  <c r="T997" i="4"/>
  <c r="T996" i="4"/>
  <c r="T986" i="4"/>
  <c r="T985" i="4"/>
  <c r="T984" i="4"/>
  <c r="T983" i="4"/>
  <c r="T982" i="4"/>
  <c r="T981" i="4"/>
  <c r="T980" i="4"/>
  <c r="T979" i="4"/>
  <c r="T972" i="4"/>
  <c r="T971" i="4"/>
  <c r="T970" i="4"/>
  <c r="T969" i="4"/>
  <c r="T968" i="4"/>
  <c r="T967" i="4"/>
  <c r="T966" i="4"/>
  <c r="T965" i="4"/>
  <c r="T955" i="4"/>
  <c r="T954" i="4"/>
  <c r="T953" i="4"/>
  <c r="T952" i="4"/>
  <c r="T951" i="4"/>
  <c r="T950" i="4"/>
  <c r="T949" i="4"/>
  <c r="T948" i="4"/>
  <c r="T941" i="4"/>
  <c r="T940" i="4"/>
  <c r="T939" i="4"/>
  <c r="T938" i="4"/>
  <c r="T937" i="4"/>
  <c r="T936" i="4"/>
  <c r="T935" i="4"/>
  <c r="T934" i="4"/>
  <c r="T924" i="4"/>
  <c r="T923" i="4"/>
  <c r="T922" i="4"/>
  <c r="T921" i="4"/>
  <c r="T920" i="4"/>
  <c r="T919" i="4"/>
  <c r="T918" i="4"/>
  <c r="T917" i="4"/>
  <c r="T910" i="4"/>
  <c r="T909" i="4"/>
  <c r="T908" i="4"/>
  <c r="T907" i="4"/>
  <c r="T906" i="4"/>
  <c r="T905" i="4"/>
  <c r="T904" i="4"/>
  <c r="T903" i="4"/>
  <c r="T893" i="4"/>
  <c r="T892" i="4"/>
  <c r="T891" i="4"/>
  <c r="T890" i="4"/>
  <c r="T889" i="4"/>
  <c r="T888" i="4"/>
  <c r="T887" i="4"/>
  <c r="T886" i="4"/>
  <c r="T879" i="4"/>
  <c r="T878" i="4"/>
  <c r="T877" i="4"/>
  <c r="T876" i="4"/>
  <c r="T875" i="4"/>
  <c r="T874" i="4"/>
  <c r="T873" i="4"/>
  <c r="T872" i="4"/>
  <c r="T862" i="4"/>
  <c r="T861" i="4"/>
  <c r="T860" i="4"/>
  <c r="T859" i="4"/>
  <c r="T858" i="4"/>
  <c r="T857" i="4"/>
  <c r="T856" i="4"/>
  <c r="T855" i="4"/>
  <c r="T848" i="4"/>
  <c r="T847" i="4"/>
  <c r="T846" i="4"/>
  <c r="T845" i="4"/>
  <c r="T844" i="4"/>
  <c r="T843" i="4"/>
  <c r="T842" i="4"/>
  <c r="T841" i="4"/>
  <c r="T831" i="4"/>
  <c r="T830" i="4"/>
  <c r="T829" i="4"/>
  <c r="T828" i="4"/>
  <c r="T827" i="4"/>
  <c r="T826" i="4"/>
  <c r="T825" i="4"/>
  <c r="T824" i="4"/>
  <c r="T817" i="4"/>
  <c r="T816" i="4"/>
  <c r="T815" i="4"/>
  <c r="T814" i="4"/>
  <c r="T813" i="4"/>
  <c r="T812" i="4"/>
  <c r="T811" i="4"/>
  <c r="T810" i="4"/>
  <c r="T800" i="4"/>
  <c r="T799" i="4"/>
  <c r="T798" i="4"/>
  <c r="T797" i="4"/>
  <c r="T796" i="4"/>
  <c r="T795" i="4"/>
  <c r="T794" i="4"/>
  <c r="T793" i="4"/>
  <c r="T786" i="4"/>
  <c r="T785" i="4"/>
  <c r="T784" i="4"/>
  <c r="T783" i="4"/>
  <c r="T782" i="4"/>
  <c r="T781" i="4"/>
  <c r="T780" i="4"/>
  <c r="T779" i="4"/>
  <c r="T769" i="4"/>
  <c r="T768" i="4"/>
  <c r="T767" i="4"/>
  <c r="T766" i="4"/>
  <c r="T765" i="4"/>
  <c r="T764" i="4"/>
  <c r="T763" i="4"/>
  <c r="T762" i="4"/>
  <c r="T755" i="4"/>
  <c r="T754" i="4"/>
  <c r="T753" i="4"/>
  <c r="T752" i="4"/>
  <c r="T751" i="4"/>
  <c r="T750" i="4"/>
  <c r="T749" i="4"/>
  <c r="T748" i="4"/>
  <c r="T738" i="4"/>
  <c r="T737" i="4"/>
  <c r="T736" i="4"/>
  <c r="T735" i="4"/>
  <c r="T734" i="4"/>
  <c r="T733" i="4"/>
  <c r="T732" i="4"/>
  <c r="T731" i="4"/>
  <c r="T724" i="4"/>
  <c r="T723" i="4"/>
  <c r="T722" i="4"/>
  <c r="T721" i="4"/>
  <c r="T720" i="4"/>
  <c r="T719" i="4"/>
  <c r="T718" i="4"/>
  <c r="T717" i="4"/>
  <c r="T707" i="4"/>
  <c r="T706" i="4"/>
  <c r="T705" i="4"/>
  <c r="T704" i="4"/>
  <c r="T703" i="4"/>
  <c r="T702" i="4"/>
  <c r="T701" i="4"/>
  <c r="T700" i="4"/>
  <c r="T693" i="4"/>
  <c r="T692" i="4"/>
  <c r="T691" i="4"/>
  <c r="T690" i="4"/>
  <c r="T689" i="4"/>
  <c r="T688" i="4"/>
  <c r="T687" i="4"/>
  <c r="B687" i="4"/>
  <c r="T686" i="4"/>
  <c r="T676" i="4"/>
  <c r="T675" i="4"/>
  <c r="T674" i="4"/>
  <c r="T673" i="4"/>
  <c r="T672" i="4"/>
  <c r="T671" i="4"/>
  <c r="T670" i="4"/>
  <c r="T669" i="4"/>
  <c r="T662" i="4"/>
  <c r="T661" i="4"/>
  <c r="T660" i="4"/>
  <c r="T659" i="4"/>
  <c r="T658" i="4"/>
  <c r="T657" i="4"/>
  <c r="T656" i="4"/>
  <c r="T655" i="4"/>
  <c r="T645" i="4"/>
  <c r="T644" i="4"/>
  <c r="T643" i="4"/>
  <c r="T642" i="4"/>
  <c r="T641" i="4"/>
  <c r="T640" i="4"/>
  <c r="T639" i="4"/>
  <c r="T638" i="4"/>
  <c r="T631" i="4"/>
  <c r="T630" i="4"/>
  <c r="T629" i="4"/>
  <c r="T628" i="4"/>
  <c r="T627" i="4"/>
  <c r="T626" i="4"/>
  <c r="T625" i="4"/>
  <c r="T624" i="4"/>
  <c r="T614" i="4"/>
  <c r="T613" i="4"/>
  <c r="T612" i="4"/>
  <c r="T611" i="4"/>
  <c r="T610" i="4"/>
  <c r="T609" i="4"/>
  <c r="T608" i="4"/>
  <c r="T607" i="4"/>
  <c r="T600" i="4"/>
  <c r="T599" i="4"/>
  <c r="T598" i="4"/>
  <c r="T597" i="4"/>
  <c r="T596" i="4"/>
  <c r="T595" i="4"/>
  <c r="T594" i="4"/>
  <c r="T593" i="4"/>
  <c r="T583" i="4"/>
  <c r="T582" i="4"/>
  <c r="T581" i="4"/>
  <c r="T580" i="4"/>
  <c r="T579" i="4"/>
  <c r="T578" i="4"/>
  <c r="T577" i="4"/>
  <c r="T576" i="4"/>
  <c r="T569" i="4"/>
  <c r="T568" i="4"/>
  <c r="T567" i="4"/>
  <c r="T566" i="4"/>
  <c r="T565" i="4"/>
  <c r="T564" i="4"/>
  <c r="T563" i="4"/>
  <c r="T562" i="4"/>
  <c r="T552" i="4"/>
  <c r="T551" i="4"/>
  <c r="T550" i="4"/>
  <c r="T549" i="4"/>
  <c r="T548" i="4"/>
  <c r="T547" i="4"/>
  <c r="T546" i="4"/>
  <c r="T545" i="4"/>
  <c r="T538" i="4"/>
  <c r="T537" i="4"/>
  <c r="T536" i="4"/>
  <c r="T535" i="4"/>
  <c r="T534" i="4"/>
  <c r="T533" i="4"/>
  <c r="T532" i="4"/>
  <c r="T531" i="4"/>
  <c r="T521" i="4"/>
  <c r="T520" i="4"/>
  <c r="T519" i="4"/>
  <c r="T518" i="4"/>
  <c r="T517" i="4"/>
  <c r="T516" i="4"/>
  <c r="T515" i="4"/>
  <c r="T514" i="4"/>
  <c r="T507" i="4"/>
  <c r="T506" i="4"/>
  <c r="T505" i="4"/>
  <c r="T504" i="4"/>
  <c r="T503" i="4"/>
  <c r="T502" i="4"/>
  <c r="T501" i="4"/>
  <c r="T500" i="4"/>
  <c r="T490" i="4"/>
  <c r="T489" i="4"/>
  <c r="T488" i="4"/>
  <c r="T487" i="4"/>
  <c r="T486" i="4"/>
  <c r="T485" i="4"/>
  <c r="T484" i="4"/>
  <c r="T483" i="4"/>
  <c r="T476" i="4"/>
  <c r="T475" i="4"/>
  <c r="T474" i="4"/>
  <c r="T473" i="4"/>
  <c r="T472" i="4"/>
  <c r="T471" i="4"/>
  <c r="T470" i="4"/>
  <c r="T469" i="4"/>
  <c r="T459" i="4"/>
  <c r="T458" i="4"/>
  <c r="T457" i="4"/>
  <c r="T456" i="4"/>
  <c r="T455" i="4"/>
  <c r="T454" i="4"/>
  <c r="T453" i="4"/>
  <c r="T452" i="4"/>
  <c r="T445" i="4"/>
  <c r="T444" i="4"/>
  <c r="T443" i="4"/>
  <c r="T442" i="4"/>
  <c r="T441" i="4"/>
  <c r="T440" i="4"/>
  <c r="T439" i="4"/>
  <c r="T438" i="4"/>
  <c r="T428" i="4"/>
  <c r="T427" i="4"/>
  <c r="T426" i="4"/>
  <c r="T425" i="4"/>
  <c r="T424" i="4"/>
  <c r="T423" i="4"/>
  <c r="T422" i="4"/>
  <c r="T421" i="4"/>
  <c r="T414" i="4"/>
  <c r="T413" i="4"/>
  <c r="T412" i="4"/>
  <c r="B412" i="4"/>
  <c r="T411" i="4"/>
  <c r="T410" i="4"/>
  <c r="T409" i="4"/>
  <c r="T408" i="4"/>
  <c r="T407" i="4"/>
  <c r="T397" i="4"/>
  <c r="T396" i="4"/>
  <c r="T395" i="4"/>
  <c r="T394" i="4"/>
  <c r="T393" i="4"/>
  <c r="T392" i="4"/>
  <c r="T391" i="4"/>
  <c r="T390" i="4"/>
  <c r="T383" i="4"/>
  <c r="T382" i="4"/>
  <c r="T381" i="4"/>
  <c r="B381" i="4"/>
  <c r="T380" i="4"/>
  <c r="T379" i="4"/>
  <c r="T378" i="4"/>
  <c r="T377" i="4"/>
  <c r="T376" i="4"/>
  <c r="T366" i="4"/>
  <c r="T365" i="4"/>
  <c r="T364" i="4"/>
  <c r="B364" i="4"/>
  <c r="T363" i="4"/>
  <c r="T362" i="4"/>
  <c r="T361" i="4"/>
  <c r="T360" i="4"/>
  <c r="T359" i="4"/>
  <c r="T352" i="4"/>
  <c r="T351" i="4"/>
  <c r="T350" i="4"/>
  <c r="T349" i="4"/>
  <c r="T348" i="4"/>
  <c r="T347" i="4"/>
  <c r="T346" i="4"/>
  <c r="T345" i="4"/>
  <c r="B345" i="4"/>
  <c r="T335" i="4"/>
  <c r="T334" i="4"/>
  <c r="T333" i="4"/>
  <c r="T332" i="4"/>
  <c r="T331" i="4"/>
  <c r="T330" i="4"/>
  <c r="T329" i="4"/>
  <c r="B329" i="4"/>
  <c r="T328" i="4"/>
  <c r="T321" i="4"/>
  <c r="T320" i="4"/>
  <c r="T319" i="4"/>
  <c r="T318" i="4"/>
  <c r="T317" i="4"/>
  <c r="T316" i="4"/>
  <c r="T315" i="4"/>
  <c r="T314" i="4"/>
  <c r="T304" i="4"/>
  <c r="T303" i="4"/>
  <c r="T302" i="4"/>
  <c r="T301" i="4"/>
  <c r="T300" i="4"/>
  <c r="T299" i="4"/>
  <c r="T298" i="4"/>
  <c r="T297" i="4"/>
  <c r="T290" i="4"/>
  <c r="T289" i="4"/>
  <c r="T288" i="4"/>
  <c r="B288" i="4"/>
  <c r="T287" i="4"/>
  <c r="T286" i="4"/>
  <c r="T285" i="4"/>
  <c r="T284" i="4"/>
  <c r="B284" i="4"/>
  <c r="T283" i="4"/>
  <c r="T273" i="4"/>
  <c r="T272" i="4"/>
  <c r="T271" i="4"/>
  <c r="T270" i="4"/>
  <c r="T269" i="4"/>
  <c r="T268" i="4"/>
  <c r="T267" i="4"/>
  <c r="T266" i="4"/>
  <c r="T259" i="4"/>
  <c r="T258" i="4"/>
  <c r="T257" i="4"/>
  <c r="B257" i="4"/>
  <c r="T256" i="4"/>
  <c r="T255" i="4"/>
  <c r="T254" i="4"/>
  <c r="T253" i="4"/>
  <c r="T252" i="4"/>
  <c r="T242" i="4"/>
  <c r="T241" i="4"/>
  <c r="T240" i="4"/>
  <c r="T239" i="4"/>
  <c r="T238" i="4"/>
  <c r="T237" i="4"/>
  <c r="B237" i="4"/>
  <c r="T236" i="4"/>
  <c r="T235" i="4"/>
  <c r="T228" i="4"/>
  <c r="T227" i="4"/>
  <c r="T226" i="4"/>
  <c r="T225" i="4"/>
  <c r="T224" i="4"/>
  <c r="T223" i="4"/>
  <c r="T222" i="4"/>
  <c r="T221" i="4"/>
  <c r="T211" i="4"/>
  <c r="T210" i="4"/>
  <c r="T209" i="4"/>
  <c r="T208" i="4"/>
  <c r="T207" i="4"/>
  <c r="T206" i="4"/>
  <c r="T205" i="4"/>
  <c r="T204" i="4"/>
  <c r="T197" i="4"/>
  <c r="T196" i="4"/>
  <c r="T195" i="4"/>
  <c r="B195" i="4"/>
  <c r="T194" i="4"/>
  <c r="T193" i="4"/>
  <c r="T192" i="4"/>
  <c r="T191" i="4"/>
  <c r="B191" i="4"/>
  <c r="T190" i="4"/>
  <c r="T180" i="4"/>
  <c r="T179" i="4"/>
  <c r="B179" i="4"/>
  <c r="T178" i="4"/>
  <c r="T177" i="4"/>
  <c r="T176" i="4"/>
  <c r="T175" i="4"/>
  <c r="B175" i="4"/>
  <c r="T174" i="4"/>
  <c r="T173" i="4"/>
  <c r="T166" i="4"/>
  <c r="T165" i="4"/>
  <c r="T164" i="4"/>
  <c r="B164" i="4"/>
  <c r="T163" i="4"/>
  <c r="B163" i="4"/>
  <c r="T162" i="4"/>
  <c r="T161" i="4"/>
  <c r="T160" i="4"/>
  <c r="B160" i="4"/>
  <c r="T159" i="4"/>
  <c r="T149" i="4"/>
  <c r="T148" i="4"/>
  <c r="B148" i="4"/>
  <c r="T147" i="4"/>
  <c r="B147" i="4"/>
  <c r="T146" i="4"/>
  <c r="T145" i="4"/>
  <c r="T144" i="4"/>
  <c r="B144" i="4"/>
  <c r="T143" i="4"/>
  <c r="T142" i="4"/>
  <c r="T135" i="4"/>
  <c r="T134" i="4"/>
  <c r="T133" i="4"/>
  <c r="B133" i="4"/>
  <c r="T132" i="4"/>
  <c r="T131" i="4"/>
  <c r="T130" i="4"/>
  <c r="T129" i="4"/>
  <c r="T128" i="4"/>
  <c r="T118" i="4"/>
  <c r="B118" i="4"/>
  <c r="T117" i="4"/>
  <c r="B117" i="4"/>
  <c r="T116" i="4"/>
  <c r="T115" i="4"/>
  <c r="T114" i="4"/>
  <c r="T113" i="4"/>
  <c r="T112" i="4"/>
  <c r="T111" i="4"/>
  <c r="T104" i="4"/>
  <c r="T103" i="4"/>
  <c r="T102" i="4"/>
  <c r="B102" i="4"/>
  <c r="T101" i="4"/>
  <c r="T100" i="4"/>
  <c r="T99" i="4"/>
  <c r="B99" i="4"/>
  <c r="T98" i="4"/>
  <c r="T97" i="4"/>
  <c r="T87" i="4"/>
  <c r="B87" i="4"/>
  <c r="T86" i="4"/>
  <c r="B86" i="4"/>
  <c r="T85" i="4"/>
  <c r="T84" i="4"/>
  <c r="T83" i="4"/>
  <c r="T82" i="4"/>
  <c r="T81" i="4"/>
  <c r="T80" i="4"/>
  <c r="T73" i="4"/>
  <c r="T72" i="4"/>
  <c r="T71" i="4"/>
  <c r="B71" i="4"/>
  <c r="T70" i="4"/>
  <c r="B70" i="4"/>
  <c r="T69" i="4"/>
  <c r="B69" i="4"/>
  <c r="T68" i="4"/>
  <c r="T67" i="4"/>
  <c r="B67" i="4"/>
  <c r="T66" i="4"/>
  <c r="T56" i="4"/>
  <c r="T55" i="4"/>
  <c r="B55" i="4"/>
  <c r="T54" i="4"/>
  <c r="B54" i="4"/>
  <c r="T53" i="4"/>
  <c r="B53" i="4"/>
  <c r="AI52" i="4"/>
  <c r="T52" i="4"/>
  <c r="AI51" i="4"/>
  <c r="T51" i="4"/>
  <c r="B51" i="4"/>
  <c r="T50" i="4"/>
  <c r="T49" i="4"/>
  <c r="AI48" i="4"/>
  <c r="T42" i="4"/>
  <c r="T41" i="4"/>
  <c r="B41" i="4"/>
  <c r="T40" i="4"/>
  <c r="B40" i="4"/>
  <c r="AI39" i="4"/>
  <c r="T39" i="4"/>
  <c r="B39" i="4"/>
  <c r="AI38" i="4"/>
  <c r="T38" i="4"/>
  <c r="AI37" i="4"/>
  <c r="T37" i="4"/>
  <c r="B37" i="4"/>
  <c r="AI36" i="4"/>
  <c r="T36" i="4"/>
  <c r="B36" i="4"/>
  <c r="AI35" i="4"/>
  <c r="T35" i="4"/>
  <c r="AI34" i="4"/>
  <c r="AI33" i="4"/>
  <c r="AI32" i="4"/>
  <c r="T26" i="4"/>
  <c r="AI25" i="4"/>
  <c r="T25" i="4"/>
  <c r="AI24" i="4"/>
  <c r="T24" i="4"/>
  <c r="B24" i="4"/>
  <c r="T23" i="4"/>
  <c r="T22" i="4"/>
  <c r="AI21" i="4"/>
  <c r="T21" i="4"/>
  <c r="AI20" i="4"/>
  <c r="T20" i="4"/>
  <c r="T19" i="4"/>
  <c r="AI11" i="4"/>
  <c r="T11" i="4"/>
  <c r="B11" i="4"/>
  <c r="T460" i="4" s="1"/>
  <c r="AI10" i="4"/>
  <c r="T10" i="4"/>
  <c r="B10" i="4"/>
  <c r="AI9" i="4"/>
  <c r="T9" i="4"/>
  <c r="B9" i="4"/>
  <c r="B458" i="4" s="1"/>
  <c r="AI8" i="4"/>
  <c r="T8" i="4"/>
  <c r="B8" i="4"/>
  <c r="B178" i="4" s="1"/>
  <c r="AI7" i="4"/>
  <c r="T7" i="4"/>
  <c r="B7" i="4"/>
  <c r="B472" i="4" s="1"/>
  <c r="AI6" i="4"/>
  <c r="T6" i="4"/>
  <c r="B6" i="4"/>
  <c r="B68" i="4" s="1"/>
  <c r="AI5" i="4"/>
  <c r="T5" i="4"/>
  <c r="B5" i="4"/>
  <c r="B501" i="4" s="1"/>
  <c r="AI4" i="4"/>
  <c r="AK5" i="4" s="1"/>
  <c r="AL5" i="4" s="1"/>
  <c r="T4" i="4"/>
  <c r="B4" i="4"/>
  <c r="B35" i="4" s="1"/>
  <c r="T8" i="1"/>
  <c r="T5" i="1"/>
  <c r="B4" i="1"/>
  <c r="B20" i="1"/>
  <c r="AS19" i="1"/>
  <c r="AQ41" i="1"/>
  <c r="AQ13" i="1"/>
  <c r="AR19" i="1" s="1"/>
  <c r="AI54" i="1"/>
  <c r="AI53" i="1"/>
  <c r="AI52" i="1"/>
  <c r="AI51" i="1"/>
  <c r="AI50" i="1"/>
  <c r="AI49" i="1"/>
  <c r="AI48" i="1"/>
  <c r="AI47" i="1"/>
  <c r="AI39" i="1"/>
  <c r="AI38" i="1"/>
  <c r="AI37" i="1"/>
  <c r="AI36" i="1"/>
  <c r="AI35" i="1"/>
  <c r="AI34" i="1"/>
  <c r="AI33" i="1"/>
  <c r="AI32" i="1"/>
  <c r="AI26" i="1"/>
  <c r="AI25" i="1"/>
  <c r="AI24" i="1"/>
  <c r="AI23" i="1"/>
  <c r="AI22" i="1"/>
  <c r="AI21" i="1"/>
  <c r="AI20" i="1"/>
  <c r="AI19" i="1"/>
  <c r="AI11" i="1"/>
  <c r="AI10" i="1"/>
  <c r="AI9" i="1"/>
  <c r="AI8" i="1"/>
  <c r="AI7" i="1"/>
  <c r="AI6" i="1"/>
  <c r="AI5" i="1"/>
  <c r="AI4" i="1"/>
  <c r="AK5" i="1" s="1"/>
  <c r="AL5" i="1" s="1"/>
  <c r="D5" i="1"/>
  <c r="H4" i="1"/>
  <c r="I4" i="1"/>
  <c r="D4" i="1"/>
  <c r="T32" i="1"/>
  <c r="T39" i="1"/>
  <c r="T38" i="1"/>
  <c r="T37" i="1"/>
  <c r="T36" i="1"/>
  <c r="T35" i="1"/>
  <c r="T34" i="1"/>
  <c r="T33" i="1"/>
  <c r="T6" i="1"/>
  <c r="T7" i="1"/>
  <c r="T9" i="1"/>
  <c r="T10" i="1"/>
  <c r="T11" i="1"/>
  <c r="T4" i="1"/>
  <c r="B5" i="1"/>
  <c r="B6" i="1"/>
  <c r="B7" i="1"/>
  <c r="B8" i="1"/>
  <c r="B9" i="1"/>
  <c r="B10" i="1"/>
  <c r="B11" i="1"/>
  <c r="B24" i="1"/>
  <c r="B21" i="1"/>
  <c r="F292" i="1" l="1"/>
  <c r="X292" i="1"/>
  <c r="V291" i="1"/>
  <c r="W291" i="1" s="1"/>
  <c r="U291" i="1"/>
  <c r="D291" i="1"/>
  <c r="E291" i="1" s="1"/>
  <c r="F250" i="1"/>
  <c r="V249" i="1"/>
  <c r="W249" i="1" s="1"/>
  <c r="X250" i="1"/>
  <c r="U249" i="1"/>
  <c r="D249" i="1"/>
  <c r="E249" i="1" s="1"/>
  <c r="V208" i="1"/>
  <c r="W208" i="1" s="1"/>
  <c r="X209" i="1"/>
  <c r="F209" i="1"/>
  <c r="U208" i="1"/>
  <c r="AC209" i="1"/>
  <c r="D208" i="1"/>
  <c r="E208" i="1" s="1"/>
  <c r="X168" i="1"/>
  <c r="U167" i="1"/>
  <c r="V167" i="1" s="1"/>
  <c r="W167" i="1" s="1"/>
  <c r="D167" i="1"/>
  <c r="E167" i="1" s="1"/>
  <c r="F168" i="1"/>
  <c r="X127" i="1"/>
  <c r="F127" i="1"/>
  <c r="V126" i="1"/>
  <c r="W126" i="1" s="1"/>
  <c r="U126" i="1"/>
  <c r="D126" i="1"/>
  <c r="E126" i="1" s="1"/>
  <c r="X86" i="1"/>
  <c r="V85" i="1"/>
  <c r="W85" i="1" s="1"/>
  <c r="F86" i="1"/>
  <c r="D85" i="1"/>
  <c r="E85" i="1" s="1"/>
  <c r="U85" i="1"/>
  <c r="V45" i="1"/>
  <c r="W45" i="1" s="1"/>
  <c r="X45" i="1" s="1"/>
  <c r="V44" i="1"/>
  <c r="W44" i="1" s="1"/>
  <c r="D44" i="1"/>
  <c r="E44" i="1" s="1"/>
  <c r="D45" i="1"/>
  <c r="E45" i="1" s="1"/>
  <c r="V20" i="1"/>
  <c r="W20" i="1" s="1"/>
  <c r="X20" i="1" s="1"/>
  <c r="V19" i="1"/>
  <c r="W19" i="1" s="1"/>
  <c r="X19" i="1" s="1"/>
  <c r="AM5" i="4"/>
  <c r="B971" i="4"/>
  <c r="B955" i="4"/>
  <c r="B1172" i="4"/>
  <c r="B1095" i="4"/>
  <c r="B1079" i="4"/>
  <c r="B1002" i="4"/>
  <c r="B986" i="4"/>
  <c r="B1126" i="4"/>
  <c r="B1110" i="4"/>
  <c r="B940" i="4"/>
  <c r="B862" i="4"/>
  <c r="B909" i="4"/>
  <c r="B847" i="4"/>
  <c r="B1064" i="4"/>
  <c r="B1048" i="4"/>
  <c r="B924" i="4"/>
  <c r="B1141" i="4"/>
  <c r="B816" i="4"/>
  <c r="B800" i="4"/>
  <c r="B1017" i="4"/>
  <c r="B1033" i="4"/>
  <c r="B893" i="4"/>
  <c r="B1157" i="4"/>
  <c r="B723" i="4"/>
  <c r="B878" i="4"/>
  <c r="B769" i="4"/>
  <c r="B661" i="4"/>
  <c r="B645" i="4"/>
  <c r="B738" i="4"/>
  <c r="B707" i="4"/>
  <c r="B692" i="4"/>
  <c r="B676" i="4"/>
  <c r="B831" i="4"/>
  <c r="B785" i="4"/>
  <c r="B506" i="4"/>
  <c r="B320" i="4"/>
  <c r="B304" i="4"/>
  <c r="B568" i="4"/>
  <c r="B614" i="4"/>
  <c r="B444" i="4"/>
  <c r="B630" i="4"/>
  <c r="B552" i="4"/>
  <c r="B351" i="4"/>
  <c r="B335" i="4"/>
  <c r="B583" i="4"/>
  <c r="B754" i="4"/>
  <c r="B599" i="4"/>
  <c r="B211" i="4"/>
  <c r="B521" i="4"/>
  <c r="B227" i="4"/>
  <c r="B273" i="4"/>
  <c r="B475" i="4"/>
  <c r="B490" i="4"/>
  <c r="B258" i="4"/>
  <c r="B165" i="4"/>
  <c r="B149" i="4"/>
  <c r="B397" i="4"/>
  <c r="B428" i="4"/>
  <c r="B366" i="4"/>
  <c r="B289" i="4"/>
  <c r="B413" i="4"/>
  <c r="B196" i="4"/>
  <c r="B180" i="4"/>
  <c r="B66" i="4"/>
  <c r="B104" i="4"/>
  <c r="B382" i="4"/>
  <c r="B537" i="4"/>
  <c r="B967" i="4"/>
  <c r="B951" i="4"/>
  <c r="B1168" i="4"/>
  <c r="B1091" i="4"/>
  <c r="B1075" i="4"/>
  <c r="B998" i="4"/>
  <c r="B982" i="4"/>
  <c r="B1122" i="4"/>
  <c r="B1106" i="4"/>
  <c r="B1029" i="4"/>
  <c r="B1013" i="4"/>
  <c r="B858" i="4"/>
  <c r="B920" i="4"/>
  <c r="B905" i="4"/>
  <c r="B843" i="4"/>
  <c r="B1153" i="4"/>
  <c r="B812" i="4"/>
  <c r="B796" i="4"/>
  <c r="B889" i="4"/>
  <c r="B734" i="4"/>
  <c r="B657" i="4"/>
  <c r="B641" i="4"/>
  <c r="B1137" i="4"/>
  <c r="B703" i="4"/>
  <c r="B874" i="4"/>
  <c r="B781" i="4"/>
  <c r="B688" i="4"/>
  <c r="B936" i="4"/>
  <c r="B1060" i="4"/>
  <c r="B750" i="4"/>
  <c r="B719" i="4"/>
  <c r="B610" i="4"/>
  <c r="B564" i="4"/>
  <c r="B316" i="4"/>
  <c r="B300" i="4"/>
  <c r="B626" i="4"/>
  <c r="B579" i="4"/>
  <c r="B548" i="4"/>
  <c r="B827" i="4"/>
  <c r="B595" i="4"/>
  <c r="B440" i="4"/>
  <c r="B347" i="4"/>
  <c r="B331" i="4"/>
  <c r="B486" i="4"/>
  <c r="B672" i="4"/>
  <c r="B765" i="4"/>
  <c r="B207" i="4"/>
  <c r="B223" i="4"/>
  <c r="B269" i="4"/>
  <c r="B21" i="4"/>
  <c r="B254" i="4"/>
  <c r="B1044" i="4"/>
  <c r="B424" i="4"/>
  <c r="B362" i="4"/>
  <c r="B533" i="4"/>
  <c r="B393" i="4"/>
  <c r="B161" i="4"/>
  <c r="B145" i="4"/>
  <c r="B409" i="4"/>
  <c r="B378" i="4"/>
  <c r="B502" i="4"/>
  <c r="B285" i="4"/>
  <c r="B455" i="4"/>
  <c r="B192" i="4"/>
  <c r="B176" i="4"/>
  <c r="B238" i="4"/>
  <c r="AI19" i="4"/>
  <c r="B25" i="4"/>
  <c r="B38" i="4"/>
  <c r="B134" i="4"/>
  <c r="B212" i="4"/>
  <c r="B298" i="4"/>
  <c r="B336" i="4"/>
  <c r="B352" i="4"/>
  <c r="B471" i="4"/>
  <c r="T88" i="4"/>
  <c r="B135" i="4"/>
  <c r="B531" i="4"/>
  <c r="B624" i="4"/>
  <c r="B26" i="4"/>
  <c r="B97" i="4"/>
  <c r="B119" i="4"/>
  <c r="B130" i="4"/>
  <c r="B507" i="4"/>
  <c r="B83" i="4"/>
  <c r="B114" i="4"/>
  <c r="T119" i="4"/>
  <c r="B242" i="4"/>
  <c r="B655" i="4"/>
  <c r="B906" i="4"/>
  <c r="B890" i="4"/>
  <c r="B1123" i="4"/>
  <c r="B1107" i="4"/>
  <c r="B1030" i="4"/>
  <c r="B1014" i="4"/>
  <c r="B937" i="4"/>
  <c r="B921" i="4"/>
  <c r="B1154" i="4"/>
  <c r="B1138" i="4"/>
  <c r="B1061" i="4"/>
  <c r="B1045" i="4"/>
  <c r="B813" i="4"/>
  <c r="B797" i="4"/>
  <c r="B952" i="4"/>
  <c r="B1092" i="4"/>
  <c r="B1169" i="4"/>
  <c r="B875" i="4"/>
  <c r="B828" i="4"/>
  <c r="B859" i="4"/>
  <c r="B968" i="4"/>
  <c r="B782" i="4"/>
  <c r="B596" i="4"/>
  <c r="B580" i="4"/>
  <c r="B751" i="4"/>
  <c r="B844" i="4"/>
  <c r="B1076" i="4"/>
  <c r="B720" i="4"/>
  <c r="B999" i="4"/>
  <c r="B766" i="4"/>
  <c r="B704" i="4"/>
  <c r="B487" i="4"/>
  <c r="B255" i="4"/>
  <c r="B239" i="4"/>
  <c r="B379" i="4"/>
  <c r="B363" i="4"/>
  <c r="B983" i="4"/>
  <c r="B689" i="4"/>
  <c r="B673" i="4"/>
  <c r="B642" i="4"/>
  <c r="B534" i="4"/>
  <c r="B658" i="4"/>
  <c r="B611" i="4"/>
  <c r="B565" i="4"/>
  <c r="B735" i="4"/>
  <c r="B549" i="4"/>
  <c r="B394" i="4"/>
  <c r="B301" i="4"/>
  <c r="B162" i="4"/>
  <c r="B146" i="4"/>
  <c r="B410" i="4"/>
  <c r="AI50" i="4"/>
  <c r="B627" i="4"/>
  <c r="B286" i="4"/>
  <c r="B503" i="4"/>
  <c r="B193" i="4"/>
  <c r="B177" i="4"/>
  <c r="B100" i="4"/>
  <c r="B84" i="4"/>
  <c r="B456" i="4"/>
  <c r="B441" i="4"/>
  <c r="B518" i="4"/>
  <c r="B348" i="4"/>
  <c r="B332" i="4"/>
  <c r="B208" i="4"/>
  <c r="B270" i="4"/>
  <c r="B224" i="4"/>
  <c r="B22" i="4"/>
  <c r="B128" i="4"/>
  <c r="T150" i="4"/>
  <c r="B88" i="4"/>
  <c r="AI53" i="4"/>
  <c r="B81" i="4"/>
  <c r="B112" i="4"/>
  <c r="AI49" i="4"/>
  <c r="AK4" i="4"/>
  <c r="AL4" i="4" s="1"/>
  <c r="B845" i="4"/>
  <c r="B829" i="4"/>
  <c r="B1155" i="4"/>
  <c r="B1139" i="4"/>
  <c r="B1062" i="4"/>
  <c r="B1046" i="4"/>
  <c r="B969" i="4"/>
  <c r="B953" i="4"/>
  <c r="B876" i="4"/>
  <c r="B1093" i="4"/>
  <c r="B1077" i="4"/>
  <c r="B1108" i="4"/>
  <c r="B752" i="4"/>
  <c r="B736" i="4"/>
  <c r="B1170" i="4"/>
  <c r="B1000" i="4"/>
  <c r="B938" i="4"/>
  <c r="B860" i="4"/>
  <c r="B1124" i="4"/>
  <c r="B907" i="4"/>
  <c r="B984" i="4"/>
  <c r="B922" i="4"/>
  <c r="B1015" i="4"/>
  <c r="B535" i="4"/>
  <c r="B519" i="4"/>
  <c r="B798" i="4"/>
  <c r="B767" i="4"/>
  <c r="B721" i="4"/>
  <c r="B659" i="4"/>
  <c r="B643" i="4"/>
  <c r="B1031" i="4"/>
  <c r="B814" i="4"/>
  <c r="B705" i="4"/>
  <c r="B891" i="4"/>
  <c r="B690" i="4"/>
  <c r="B674" i="4"/>
  <c r="B426" i="4"/>
  <c r="B504" i="4"/>
  <c r="B318" i="4"/>
  <c r="B566" i="4"/>
  <c r="B457" i="4"/>
  <c r="B411" i="4"/>
  <c r="B612" i="4"/>
  <c r="B783" i="4"/>
  <c r="B550" i="4"/>
  <c r="B628" i="4"/>
  <c r="B581" i="4"/>
  <c r="B101" i="4"/>
  <c r="B85" i="4"/>
  <c r="B23" i="4"/>
  <c r="B442" i="4"/>
  <c r="B380" i="4"/>
  <c r="B597" i="4"/>
  <c r="B240" i="4"/>
  <c r="B349" i="4"/>
  <c r="B333" i="4"/>
  <c r="B209" i="4"/>
  <c r="B132" i="4"/>
  <c r="B116" i="4"/>
  <c r="B225" i="4"/>
  <c r="B271" i="4"/>
  <c r="B473" i="4"/>
  <c r="B488" i="4"/>
  <c r="B256" i="4"/>
  <c r="B302" i="4"/>
  <c r="B395" i="4"/>
  <c r="B131" i="4"/>
  <c r="B194" i="4"/>
  <c r="B287" i="4"/>
  <c r="B317" i="4"/>
  <c r="B459" i="4"/>
  <c r="B1089" i="4"/>
  <c r="B1073" i="4"/>
  <c r="B996" i="4"/>
  <c r="B980" i="4"/>
  <c r="B1120" i="4"/>
  <c r="B1104" i="4"/>
  <c r="B1027" i="4"/>
  <c r="B1011" i="4"/>
  <c r="B1058" i="4"/>
  <c r="B1042" i="4"/>
  <c r="B934" i="4"/>
  <c r="B810" i="4"/>
  <c r="B794" i="4"/>
  <c r="B1151" i="4"/>
  <c r="B949" i="4"/>
  <c r="B918" i="4"/>
  <c r="B856" i="4"/>
  <c r="B825" i="4"/>
  <c r="B1166" i="4"/>
  <c r="B965" i="4"/>
  <c r="B903" i="4"/>
  <c r="B841" i="4"/>
  <c r="B469" i="4"/>
  <c r="B453" i="4"/>
  <c r="B717" i="4"/>
  <c r="B763" i="4"/>
  <c r="B732" i="4"/>
  <c r="B686" i="4"/>
  <c r="B593" i="4"/>
  <c r="B872" i="4"/>
  <c r="B1135" i="4"/>
  <c r="B701" i="4"/>
  <c r="B779" i="4"/>
  <c r="B562" i="4"/>
  <c r="B252" i="4"/>
  <c r="B236" i="4"/>
  <c r="B577" i="4"/>
  <c r="B515" i="4"/>
  <c r="B422" i="4"/>
  <c r="B546" i="4"/>
  <c r="B670" i="4"/>
  <c r="B376" i="4"/>
  <c r="B360" i="4"/>
  <c r="B748" i="4"/>
  <c r="B887" i="4"/>
  <c r="B639" i="4"/>
  <c r="B159" i="4"/>
  <c r="B143" i="4"/>
  <c r="D4" i="4"/>
  <c r="E4" i="4" s="1"/>
  <c r="B500" i="4"/>
  <c r="B391" i="4"/>
  <c r="B407" i="4"/>
  <c r="B314" i="4"/>
  <c r="AI47" i="4"/>
  <c r="D5" i="4"/>
  <c r="E5" i="4" s="1"/>
  <c r="B438" i="4"/>
  <c r="B19" i="4"/>
  <c r="B190" i="4"/>
  <c r="B174" i="4"/>
  <c r="B267" i="4"/>
  <c r="B608" i="4"/>
  <c r="B484" i="4"/>
  <c r="B221" i="4"/>
  <c r="B205" i="4"/>
  <c r="AI22" i="4"/>
  <c r="AI54" i="4"/>
  <c r="B115" i="4"/>
  <c r="B283" i="4"/>
  <c r="B425" i="4"/>
  <c r="T212" i="4"/>
  <c r="B50" i="4"/>
  <c r="B72" i="4"/>
  <c r="B517" i="4"/>
  <c r="T1173" i="4"/>
  <c r="B1173" i="4"/>
  <c r="T1080" i="4"/>
  <c r="B1096" i="4"/>
  <c r="B1080" i="4"/>
  <c r="T987" i="4"/>
  <c r="B1003" i="4"/>
  <c r="B987" i="4"/>
  <c r="T894" i="4"/>
  <c r="T1111" i="4"/>
  <c r="B1034" i="4"/>
  <c r="B1018" i="4"/>
  <c r="T1142" i="4"/>
  <c r="B1158" i="4"/>
  <c r="B1142" i="4"/>
  <c r="B863" i="4"/>
  <c r="B1127" i="4"/>
  <c r="T1049" i="4"/>
  <c r="T925" i="4"/>
  <c r="B910" i="4"/>
  <c r="B848" i="4"/>
  <c r="B1065" i="4"/>
  <c r="B1049" i="4"/>
  <c r="B972" i="4"/>
  <c r="B925" i="4"/>
  <c r="T801" i="4"/>
  <c r="B817" i="4"/>
  <c r="B801" i="4"/>
  <c r="T708" i="4"/>
  <c r="T1018" i="4"/>
  <c r="T956" i="4"/>
  <c r="B894" i="4"/>
  <c r="B879" i="4"/>
  <c r="B832" i="4"/>
  <c r="T739" i="4"/>
  <c r="B662" i="4"/>
  <c r="B646" i="4"/>
  <c r="T553" i="4"/>
  <c r="B739" i="4"/>
  <c r="B941" i="4"/>
  <c r="B476" i="4"/>
  <c r="B460" i="4"/>
  <c r="B708" i="4"/>
  <c r="T677" i="4"/>
  <c r="B693" i="4"/>
  <c r="B677" i="4"/>
  <c r="T584" i="4"/>
  <c r="T863" i="4"/>
  <c r="T832" i="4"/>
  <c r="B600" i="4"/>
  <c r="B584" i="4"/>
  <c r="B1111" i="4"/>
  <c r="B786" i="4"/>
  <c r="T770" i="4"/>
  <c r="B724" i="4"/>
  <c r="T615" i="4"/>
  <c r="B569" i="4"/>
  <c r="T522" i="4"/>
  <c r="B615" i="4"/>
  <c r="B770" i="4"/>
  <c r="B445" i="4"/>
  <c r="T336" i="4"/>
  <c r="B631" i="4"/>
  <c r="B553" i="4"/>
  <c r="B956" i="4"/>
  <c r="T491" i="4"/>
  <c r="B755" i="4"/>
  <c r="B491" i="4"/>
  <c r="T646" i="4"/>
  <c r="B522" i="4"/>
  <c r="T274" i="4"/>
  <c r="B228" i="4"/>
  <c r="B274" i="4"/>
  <c r="B42" i="4"/>
  <c r="B259" i="4"/>
  <c r="B166" i="4"/>
  <c r="B150" i="4"/>
  <c r="T57" i="4"/>
  <c r="T398" i="4"/>
  <c r="T305" i="4"/>
  <c r="B73" i="4"/>
  <c r="B57" i="4"/>
  <c r="AI26" i="4"/>
  <c r="T429" i="4"/>
  <c r="B398" i="4"/>
  <c r="B305" i="4"/>
  <c r="B429" i="4"/>
  <c r="T367" i="4"/>
  <c r="B367" i="4"/>
  <c r="B321" i="4"/>
  <c r="B290" i="4"/>
  <c r="T181" i="4"/>
  <c r="B414" i="4"/>
  <c r="B197" i="4"/>
  <c r="B181" i="4"/>
  <c r="B538" i="4"/>
  <c r="B383" i="4"/>
  <c r="T243" i="4"/>
  <c r="B243" i="4"/>
  <c r="AI23" i="4"/>
  <c r="B52" i="4"/>
  <c r="B56" i="4"/>
  <c r="B103" i="4"/>
  <c r="B365" i="4"/>
  <c r="B470" i="4"/>
  <c r="B485" i="4"/>
  <c r="B330" i="4"/>
  <c r="B346" i="4"/>
  <c r="B396" i="4"/>
  <c r="B377" i="4"/>
  <c r="B454" i="4"/>
  <c r="B489" i="4"/>
  <c r="B253" i="4"/>
  <c r="B299" i="4"/>
  <c r="B474" i="4"/>
  <c r="B842" i="4"/>
  <c r="B1152" i="4"/>
  <c r="B1136" i="4"/>
  <c r="B1059" i="4"/>
  <c r="B1043" i="4"/>
  <c r="B966" i="4"/>
  <c r="B950" i="4"/>
  <c r="B873" i="4"/>
  <c r="B1090" i="4"/>
  <c r="B1074" i="4"/>
  <c r="B749" i="4"/>
  <c r="B733" i="4"/>
  <c r="B857" i="4"/>
  <c r="B1121" i="4"/>
  <c r="B919" i="4"/>
  <c r="B904" i="4"/>
  <c r="B997" i="4"/>
  <c r="B888" i="4"/>
  <c r="B981" i="4"/>
  <c r="B780" i="4"/>
  <c r="B1105" i="4"/>
  <c r="B935" i="4"/>
  <c r="B532" i="4"/>
  <c r="B516" i="4"/>
  <c r="B795" i="4"/>
  <c r="B702" i="4"/>
  <c r="B811" i="4"/>
  <c r="B656" i="4"/>
  <c r="B640" i="4"/>
  <c r="B826" i="4"/>
  <c r="B1167" i="4"/>
  <c r="B1012" i="4"/>
  <c r="B1028" i="4"/>
  <c r="B764" i="4"/>
  <c r="B625" i="4"/>
  <c r="B547" i="4"/>
  <c r="B578" i="4"/>
  <c r="B594" i="4"/>
  <c r="B439" i="4"/>
  <c r="B315" i="4"/>
  <c r="B671" i="4"/>
  <c r="B718" i="4"/>
  <c r="B609" i="4"/>
  <c r="B563" i="4"/>
  <c r="B113" i="4"/>
  <c r="B129" i="4"/>
  <c r="B272" i="4"/>
  <c r="B361" i="4"/>
  <c r="B206" i="4"/>
  <c r="B222" i="4"/>
  <c r="B226" i="4"/>
  <c r="B268" i="4"/>
  <c r="B408" i="4"/>
  <c r="B392" i="4"/>
  <c r="B210" i="4"/>
  <c r="B334" i="4"/>
  <c r="B350" i="4"/>
  <c r="B423" i="4"/>
  <c r="B1156" i="4"/>
  <c r="B1140" i="4"/>
  <c r="B1063" i="4"/>
  <c r="B1047" i="4"/>
  <c r="B970" i="4"/>
  <c r="B954" i="4"/>
  <c r="B877" i="4"/>
  <c r="B861" i="4"/>
  <c r="B1171" i="4"/>
  <c r="B1094" i="4"/>
  <c r="B1078" i="4"/>
  <c r="B1125" i="4"/>
  <c r="B1109" i="4"/>
  <c r="B1001" i="4"/>
  <c r="B939" i="4"/>
  <c r="B784" i="4"/>
  <c r="B768" i="4"/>
  <c r="B908" i="4"/>
  <c r="B846" i="4"/>
  <c r="B985" i="4"/>
  <c r="B923" i="4"/>
  <c r="B815" i="4"/>
  <c r="B799" i="4"/>
  <c r="B1016" i="4"/>
  <c r="B536" i="4"/>
  <c r="B520" i="4"/>
  <c r="B753" i="4"/>
  <c r="B722" i="4"/>
  <c r="B660" i="4"/>
  <c r="B644" i="4"/>
  <c r="B737" i="4"/>
  <c r="B567" i="4"/>
  <c r="B551" i="4"/>
  <c r="B1032" i="4"/>
  <c r="B706" i="4"/>
  <c r="B892" i="4"/>
  <c r="B691" i="4"/>
  <c r="B675" i="4"/>
  <c r="B830" i="4"/>
  <c r="B427" i="4"/>
  <c r="B505" i="4"/>
  <c r="B319" i="4"/>
  <c r="B303" i="4"/>
  <c r="B613" i="4"/>
  <c r="B443" i="4"/>
  <c r="B629" i="4"/>
  <c r="B582" i="4"/>
  <c r="B598" i="4"/>
  <c r="B20" i="4"/>
  <c r="B82" i="4"/>
  <c r="B98" i="4"/>
  <c r="B241" i="4"/>
  <c r="AM13" i="1"/>
  <c r="AM5" i="1"/>
  <c r="AK4" i="1"/>
  <c r="AL4" i="1" s="1"/>
  <c r="B25" i="1"/>
  <c r="B26" i="1"/>
  <c r="B22" i="1"/>
  <c r="B23" i="1"/>
  <c r="E4" i="1"/>
  <c r="F4" i="1" s="1"/>
  <c r="B19" i="1"/>
  <c r="E5" i="1"/>
  <c r="F5" i="1" s="1"/>
  <c r="X291" i="1" l="1"/>
  <c r="F291" i="1"/>
  <c r="F249" i="1"/>
  <c r="X249" i="1"/>
  <c r="F208" i="1"/>
  <c r="X208" i="1"/>
  <c r="X167" i="1"/>
  <c r="F167" i="1"/>
  <c r="X126" i="1"/>
  <c r="F126" i="1"/>
  <c r="F85" i="1"/>
  <c r="X85" i="1"/>
  <c r="F45" i="1"/>
  <c r="X44" i="1"/>
  <c r="F44" i="1"/>
  <c r="Z19" i="1"/>
  <c r="AA19" i="1" s="1"/>
  <c r="AB19" i="1" s="1"/>
  <c r="Z20" i="1"/>
  <c r="AA20" i="1" s="1"/>
  <c r="AB20" i="1" s="1"/>
  <c r="F4" i="4"/>
  <c r="F5" i="4"/>
  <c r="AM4" i="4"/>
  <c r="AM4" i="1"/>
  <c r="J4" i="1"/>
  <c r="H5" i="1"/>
  <c r="I5" i="1" s="1"/>
  <c r="J5" i="1" s="1"/>
  <c r="H292" i="1" l="1"/>
  <c r="I292" i="1" s="1"/>
  <c r="J292" i="1" s="1"/>
  <c r="H291" i="1"/>
  <c r="I291" i="1" s="1"/>
  <c r="Z292" i="1"/>
  <c r="AA292" i="1" s="1"/>
  <c r="AB292" i="1" s="1"/>
  <c r="Z291" i="1"/>
  <c r="AA291" i="1" s="1"/>
  <c r="Z250" i="1"/>
  <c r="AA250" i="1" s="1"/>
  <c r="AB250" i="1" s="1"/>
  <c r="Z249" i="1"/>
  <c r="AA249" i="1" s="1"/>
  <c r="H249" i="1"/>
  <c r="I249" i="1" s="1"/>
  <c r="H250" i="1"/>
  <c r="I250" i="1" s="1"/>
  <c r="J250" i="1" s="1"/>
  <c r="H209" i="1"/>
  <c r="I209" i="1" s="1"/>
  <c r="J209" i="1" s="1"/>
  <c r="H208" i="1"/>
  <c r="I208" i="1" s="1"/>
  <c r="Z209" i="1"/>
  <c r="AA209" i="1" s="1"/>
  <c r="AB209" i="1" s="1"/>
  <c r="Z208" i="1"/>
  <c r="AA208" i="1" s="1"/>
  <c r="H168" i="1"/>
  <c r="I168" i="1" s="1"/>
  <c r="J168" i="1" s="1"/>
  <c r="H167" i="1"/>
  <c r="I167" i="1" s="1"/>
  <c r="Z168" i="1"/>
  <c r="AA168" i="1" s="1"/>
  <c r="AB168" i="1" s="1"/>
  <c r="Z167" i="1"/>
  <c r="AA167" i="1" s="1"/>
  <c r="Z127" i="1"/>
  <c r="AA127" i="1" s="1"/>
  <c r="AB127" i="1" s="1"/>
  <c r="Z126" i="1"/>
  <c r="AA126" i="1" s="1"/>
  <c r="H126" i="1"/>
  <c r="I126" i="1" s="1"/>
  <c r="H127" i="1"/>
  <c r="I127" i="1" s="1"/>
  <c r="J127" i="1" s="1"/>
  <c r="Z86" i="1"/>
  <c r="AA86" i="1" s="1"/>
  <c r="AB86" i="1" s="1"/>
  <c r="Z85" i="1"/>
  <c r="AA85" i="1" s="1"/>
  <c r="H86" i="1"/>
  <c r="I86" i="1" s="1"/>
  <c r="J86" i="1" s="1"/>
  <c r="H85" i="1"/>
  <c r="I85" i="1" s="1"/>
  <c r="Z44" i="1"/>
  <c r="AA44" i="1" s="1"/>
  <c r="Z45" i="1"/>
  <c r="AA45" i="1" s="1"/>
  <c r="AB45" i="1" s="1"/>
  <c r="H44" i="1"/>
  <c r="I44" i="1" s="1"/>
  <c r="H45" i="1"/>
  <c r="I45" i="1" s="1"/>
  <c r="J45" i="1" s="1"/>
  <c r="AD19" i="1"/>
  <c r="AE19" i="1" s="1"/>
  <c r="H4" i="4"/>
  <c r="I4" i="4" s="1"/>
  <c r="H5" i="4"/>
  <c r="I5" i="4" s="1"/>
  <c r="J5" i="4" s="1"/>
  <c r="AO5" i="4"/>
  <c r="AP5" i="4" s="1"/>
  <c r="AQ5" i="4" s="1"/>
  <c r="AO4" i="4"/>
  <c r="AP4" i="4" s="1"/>
  <c r="AO4" i="1"/>
  <c r="AP4" i="1" s="1"/>
  <c r="AO5" i="1"/>
  <c r="AP5" i="1" s="1"/>
  <c r="AQ5" i="1" s="1"/>
  <c r="L4" i="1"/>
  <c r="M4" i="1" s="1"/>
  <c r="AB291" i="1" l="1"/>
  <c r="J291" i="1"/>
  <c r="AB249" i="1"/>
  <c r="J249" i="1"/>
  <c r="J208" i="1"/>
  <c r="AB208" i="1"/>
  <c r="AB167" i="1"/>
  <c r="J167" i="1"/>
  <c r="AB126" i="1"/>
  <c r="J126" i="1"/>
  <c r="J85" i="1"/>
  <c r="AB85" i="1"/>
  <c r="J44" i="1"/>
  <c r="AB44" i="1"/>
  <c r="AQ4" i="4"/>
  <c r="J4" i="4"/>
  <c r="AQ4" i="1"/>
  <c r="L291" i="1" l="1"/>
  <c r="M291" i="1" s="1"/>
  <c r="Q293" i="1" s="1"/>
  <c r="AD291" i="1"/>
  <c r="AE291" i="1" s="1"/>
  <c r="R293" i="1" s="1"/>
  <c r="L249" i="1"/>
  <c r="M249" i="1" s="1"/>
  <c r="Q251" i="1" s="1"/>
  <c r="Q252" i="1" s="1"/>
  <c r="AD249" i="1"/>
  <c r="AE249" i="1" s="1"/>
  <c r="R251" i="1" s="1"/>
  <c r="AD208" i="1"/>
  <c r="AE208" i="1" s="1"/>
  <c r="R210" i="1" s="1"/>
  <c r="L208" i="1"/>
  <c r="M208" i="1" s="1"/>
  <c r="Q210" i="1" s="1"/>
  <c r="Q211" i="1" s="1"/>
  <c r="L167" i="1"/>
  <c r="M167" i="1" s="1"/>
  <c r="Q169" i="1" s="1"/>
  <c r="Q170" i="1" s="1"/>
  <c r="AD167" i="1"/>
  <c r="AE167" i="1" s="1"/>
  <c r="R169" i="1" s="1"/>
  <c r="AD126" i="1"/>
  <c r="AE126" i="1" s="1"/>
  <c r="R128" i="1" s="1"/>
  <c r="L126" i="1"/>
  <c r="M126" i="1" s="1"/>
  <c r="Q128" i="1" s="1"/>
  <c r="Q129" i="1" s="1"/>
  <c r="L85" i="1"/>
  <c r="M85" i="1" s="1"/>
  <c r="Q87" i="1" s="1"/>
  <c r="Q88" i="1" s="1"/>
  <c r="AD85" i="1"/>
  <c r="AE85" i="1" s="1"/>
  <c r="R87" i="1" s="1"/>
  <c r="AD44" i="1"/>
  <c r="AE44" i="1" s="1"/>
  <c r="R46" i="1" s="1"/>
  <c r="L44" i="1"/>
  <c r="M44" i="1" s="1"/>
  <c r="Q46" i="1" s="1"/>
  <c r="Q47" i="1" s="1"/>
  <c r="L4" i="4"/>
  <c r="AS4" i="4"/>
  <c r="AT4" i="4" s="1"/>
  <c r="AQ13" i="4" s="1"/>
  <c r="AR19" i="4" s="1"/>
  <c r="AR32" i="4" s="1"/>
  <c r="AS4" i="1"/>
  <c r="AT4" i="1" s="1"/>
  <c r="AR32" i="1" s="1"/>
  <c r="Q294" i="1" l="1"/>
  <c r="AB258" i="1"/>
  <c r="J258" i="1"/>
  <c r="J217" i="1"/>
  <c r="AB217" i="1"/>
  <c r="AB176" i="1"/>
  <c r="J176" i="1"/>
  <c r="J135" i="1"/>
  <c r="AB135" i="1"/>
  <c r="AB94" i="1"/>
  <c r="J94" i="1"/>
  <c r="AB53" i="1"/>
  <c r="AM13" i="4"/>
  <c r="AR20" i="4"/>
  <c r="AR33" i="4" s="1"/>
  <c r="AM14" i="4"/>
  <c r="AM14" i="1"/>
  <c r="AR20" i="1"/>
  <c r="AR33" i="1" s="1"/>
  <c r="AB300" i="1" l="1"/>
  <c r="J300" i="1"/>
  <c r="F259" i="1"/>
  <c r="K265" i="1"/>
  <c r="AC265" i="1" s="1"/>
  <c r="F258" i="1"/>
  <c r="K264" i="1"/>
  <c r="AC264" i="1" s="1"/>
  <c r="X258" i="1"/>
  <c r="X259" i="1"/>
  <c r="AC278" i="1"/>
  <c r="AC277" i="1"/>
  <c r="AC237" i="1"/>
  <c r="X217" i="1"/>
  <c r="X218" i="1"/>
  <c r="AC236" i="1"/>
  <c r="F217" i="1"/>
  <c r="K224" i="1"/>
  <c r="AC224" i="1" s="1"/>
  <c r="F218" i="1"/>
  <c r="K223" i="1"/>
  <c r="AC223" i="1" s="1"/>
  <c r="X177" i="1"/>
  <c r="AC196" i="1"/>
  <c r="X176" i="1"/>
  <c r="AC195" i="1"/>
  <c r="F176" i="1"/>
  <c r="F177" i="1"/>
  <c r="K183" i="1"/>
  <c r="AC183" i="1" s="1"/>
  <c r="K182" i="1"/>
  <c r="AC182" i="1" s="1"/>
  <c r="AC155" i="1"/>
  <c r="X136" i="1"/>
  <c r="X135" i="1"/>
  <c r="AC154" i="1"/>
  <c r="F136" i="1"/>
  <c r="K142" i="1"/>
  <c r="AC142" i="1" s="1"/>
  <c r="F135" i="1"/>
  <c r="K141" i="1"/>
  <c r="AC141" i="1" s="1"/>
  <c r="X94" i="1"/>
  <c r="X95" i="1"/>
  <c r="AC114" i="1"/>
  <c r="AC113" i="1"/>
  <c r="K101" i="1"/>
  <c r="AC101" i="1" s="1"/>
  <c r="F94" i="1"/>
  <c r="F95" i="1"/>
  <c r="K100" i="1"/>
  <c r="AC100" i="1" s="1"/>
  <c r="X54" i="1"/>
  <c r="AC73" i="1"/>
  <c r="X53" i="1"/>
  <c r="AC72" i="1"/>
  <c r="K60" i="1"/>
  <c r="AC60" i="1" s="1"/>
  <c r="F53" i="1"/>
  <c r="F54" i="1"/>
  <c r="K59" i="1"/>
  <c r="AC59" i="1" s="1"/>
  <c r="AN22" i="4"/>
  <c r="AN35" i="4" s="1"/>
  <c r="AN21" i="4"/>
  <c r="AN34" i="4" s="1"/>
  <c r="AI14" i="4"/>
  <c r="AI13" i="4"/>
  <c r="AN20" i="4"/>
  <c r="AN33" i="4" s="1"/>
  <c r="AN19" i="4"/>
  <c r="AN32" i="4" s="1"/>
  <c r="AN22" i="1"/>
  <c r="AN35" i="1" s="1"/>
  <c r="AN21" i="1"/>
  <c r="AN34" i="1" s="1"/>
  <c r="AI14" i="1"/>
  <c r="AI13" i="1"/>
  <c r="AN20" i="1"/>
  <c r="AN33" i="1" s="1"/>
  <c r="AN19" i="1"/>
  <c r="AN32" i="1" s="1"/>
  <c r="F300" i="1" l="1"/>
  <c r="F301" i="1"/>
  <c r="K307" i="1"/>
  <c r="AC307" i="1" s="1"/>
  <c r="K306" i="1"/>
  <c r="AC306" i="1" s="1"/>
  <c r="X301" i="1"/>
  <c r="AC320" i="1"/>
  <c r="X300" i="1"/>
  <c r="AC319" i="1"/>
  <c r="T259" i="1"/>
  <c r="Y278" i="1"/>
  <c r="T258" i="1"/>
  <c r="Y277" i="1"/>
  <c r="B259" i="1"/>
  <c r="G265" i="1"/>
  <c r="Y265" i="1" s="1"/>
  <c r="B258" i="1"/>
  <c r="G264" i="1"/>
  <c r="Y264" i="1" s="1"/>
  <c r="Y280" i="1"/>
  <c r="Y279" i="1"/>
  <c r="G267" i="1"/>
  <c r="Y267" i="1" s="1"/>
  <c r="G266" i="1"/>
  <c r="Y266" i="1" s="1"/>
  <c r="G226" i="1"/>
  <c r="Y226" i="1" s="1"/>
  <c r="G225" i="1"/>
  <c r="Y225" i="1" s="1"/>
  <c r="B218" i="1"/>
  <c r="B217" i="1"/>
  <c r="G224" i="1"/>
  <c r="Y224" i="1" s="1"/>
  <c r="G223" i="1"/>
  <c r="Y223" i="1" s="1"/>
  <c r="Y239" i="1"/>
  <c r="Y238" i="1"/>
  <c r="T218" i="1"/>
  <c r="Y237" i="1"/>
  <c r="T217" i="1"/>
  <c r="Y236" i="1"/>
  <c r="T177" i="1"/>
  <c r="T176" i="1"/>
  <c r="Y196" i="1"/>
  <c r="Y195" i="1"/>
  <c r="G185" i="1"/>
  <c r="Y185" i="1" s="1"/>
  <c r="G184" i="1"/>
  <c r="Y184" i="1" s="1"/>
  <c r="B177" i="1"/>
  <c r="G183" i="1"/>
  <c r="Y183" i="1" s="1"/>
  <c r="B176" i="1"/>
  <c r="G182" i="1"/>
  <c r="Y182" i="1" s="1"/>
  <c r="Y198" i="1"/>
  <c r="Y197" i="1"/>
  <c r="B136" i="1"/>
  <c r="G142" i="1"/>
  <c r="Y142" i="1" s="1"/>
  <c r="B135" i="1"/>
  <c r="G141" i="1"/>
  <c r="Y141" i="1" s="1"/>
  <c r="G144" i="1"/>
  <c r="Y144" i="1" s="1"/>
  <c r="G143" i="1"/>
  <c r="Y143" i="1" s="1"/>
  <c r="T136" i="1"/>
  <c r="T135" i="1"/>
  <c r="Y155" i="1"/>
  <c r="Y154" i="1"/>
  <c r="Y157" i="1"/>
  <c r="Y156" i="1"/>
  <c r="B95" i="1"/>
  <c r="B94" i="1"/>
  <c r="G101" i="1"/>
  <c r="Y101" i="1" s="1"/>
  <c r="G100" i="1"/>
  <c r="Y100" i="1" s="1"/>
  <c r="G103" i="1"/>
  <c r="Y103" i="1" s="1"/>
  <c r="G102" i="1"/>
  <c r="Y102" i="1" s="1"/>
  <c r="Y116" i="1"/>
  <c r="Y115" i="1"/>
  <c r="T95" i="1"/>
  <c r="T94" i="1"/>
  <c r="Y114" i="1"/>
  <c r="Y113" i="1"/>
  <c r="B54" i="1"/>
  <c r="B53" i="1"/>
  <c r="G59" i="1"/>
  <c r="Y59" i="1" s="1"/>
  <c r="G60" i="1"/>
  <c r="Y60" i="1" s="1"/>
  <c r="G61" i="1"/>
  <c r="Y61" i="1" s="1"/>
  <c r="G62" i="1"/>
  <c r="Y62" i="1" s="1"/>
  <c r="T54" i="1"/>
  <c r="T53" i="1"/>
  <c r="Y73" i="1"/>
  <c r="Y72" i="1"/>
  <c r="Y75" i="1"/>
  <c r="Y74" i="1"/>
  <c r="AJ20" i="4"/>
  <c r="AJ33" i="4" s="1"/>
  <c r="AJ19" i="4"/>
  <c r="AJ21" i="4"/>
  <c r="AJ22" i="4"/>
  <c r="AJ35" i="4" s="1"/>
  <c r="AJ20" i="1"/>
  <c r="AJ33" i="1" s="1"/>
  <c r="AJ19" i="1"/>
  <c r="AJ32" i="1" s="1"/>
  <c r="AK32" i="1" s="1"/>
  <c r="AL32" i="1" s="1"/>
  <c r="AJ22" i="1"/>
  <c r="AJ35" i="1" s="1"/>
  <c r="AJ21" i="1"/>
  <c r="Y322" i="1" l="1"/>
  <c r="Y321" i="1"/>
  <c r="G309" i="1"/>
  <c r="Y309" i="1" s="1"/>
  <c r="G308" i="1"/>
  <c r="Y308" i="1" s="1"/>
  <c r="T301" i="1"/>
  <c r="T300" i="1"/>
  <c r="Y320" i="1"/>
  <c r="Y319" i="1"/>
  <c r="B301" i="1"/>
  <c r="B300" i="1"/>
  <c r="G307" i="1"/>
  <c r="Y307" i="1" s="1"/>
  <c r="G306" i="1"/>
  <c r="Y306" i="1" s="1"/>
  <c r="C264" i="1"/>
  <c r="C265" i="1"/>
  <c r="U265" i="1" s="1"/>
  <c r="U278" i="1" s="1"/>
  <c r="C267" i="1"/>
  <c r="U267" i="1" s="1"/>
  <c r="U280" i="1" s="1"/>
  <c r="C266" i="1"/>
  <c r="C226" i="1"/>
  <c r="U226" i="1" s="1"/>
  <c r="U239" i="1" s="1"/>
  <c r="C225" i="1"/>
  <c r="C224" i="1"/>
  <c r="U224" i="1" s="1"/>
  <c r="U237" i="1" s="1"/>
  <c r="C223" i="1"/>
  <c r="C185" i="1"/>
  <c r="U185" i="1" s="1"/>
  <c r="U198" i="1" s="1"/>
  <c r="C184" i="1"/>
  <c r="C183" i="1"/>
  <c r="U183" i="1" s="1"/>
  <c r="U196" i="1" s="1"/>
  <c r="C182" i="1"/>
  <c r="C141" i="1"/>
  <c r="C142" i="1"/>
  <c r="U142" i="1" s="1"/>
  <c r="U155" i="1" s="1"/>
  <c r="C144" i="1"/>
  <c r="U144" i="1" s="1"/>
  <c r="U157" i="1" s="1"/>
  <c r="C143" i="1"/>
  <c r="C101" i="1"/>
  <c r="U101" i="1" s="1"/>
  <c r="U114" i="1" s="1"/>
  <c r="C100" i="1"/>
  <c r="C103" i="1"/>
  <c r="U103" i="1" s="1"/>
  <c r="U116" i="1" s="1"/>
  <c r="C102" i="1"/>
  <c r="C62" i="1"/>
  <c r="U62" i="1" s="1"/>
  <c r="U75" i="1" s="1"/>
  <c r="C61" i="1"/>
  <c r="C60" i="1"/>
  <c r="U60" i="1" s="1"/>
  <c r="U73" i="1" s="1"/>
  <c r="C59" i="1"/>
  <c r="AJ34" i="4"/>
  <c r="AK20" i="4"/>
  <c r="AL20" i="4" s="1"/>
  <c r="AM20" i="4" s="1"/>
  <c r="AJ32" i="4"/>
  <c r="AK19" i="4"/>
  <c r="AL19" i="4" s="1"/>
  <c r="AM19" i="4" s="1"/>
  <c r="AK20" i="1"/>
  <c r="AL20" i="1" s="1"/>
  <c r="AM20" i="1" s="1"/>
  <c r="AJ34" i="1"/>
  <c r="AM32" i="1"/>
  <c r="AK19" i="1"/>
  <c r="C307" i="1" l="1"/>
  <c r="U307" i="1" s="1"/>
  <c r="U320" i="1" s="1"/>
  <c r="C306" i="1"/>
  <c r="C309" i="1"/>
  <c r="U309" i="1" s="1"/>
  <c r="U322" i="1" s="1"/>
  <c r="C308" i="1"/>
  <c r="U266" i="1"/>
  <c r="D265" i="1"/>
  <c r="E265" i="1" s="1"/>
  <c r="F265" i="1" s="1"/>
  <c r="D264" i="1"/>
  <c r="E264" i="1" s="1"/>
  <c r="F264" i="1" s="1"/>
  <c r="U264" i="1"/>
  <c r="D223" i="1"/>
  <c r="E223" i="1" s="1"/>
  <c r="F223" i="1" s="1"/>
  <c r="U223" i="1"/>
  <c r="D224" i="1"/>
  <c r="E224" i="1" s="1"/>
  <c r="F224" i="1" s="1"/>
  <c r="U225" i="1"/>
  <c r="U182" i="1"/>
  <c r="D182" i="1"/>
  <c r="E182" i="1" s="1"/>
  <c r="F182" i="1" s="1"/>
  <c r="D183" i="1"/>
  <c r="E183" i="1" s="1"/>
  <c r="F183" i="1" s="1"/>
  <c r="U184" i="1"/>
  <c r="U143" i="1"/>
  <c r="D142" i="1"/>
  <c r="E142" i="1" s="1"/>
  <c r="F142" i="1" s="1"/>
  <c r="U141" i="1"/>
  <c r="D141" i="1"/>
  <c r="E141" i="1" s="1"/>
  <c r="F141" i="1" s="1"/>
  <c r="D101" i="1"/>
  <c r="E101" i="1" s="1"/>
  <c r="F101" i="1" s="1"/>
  <c r="U102" i="1"/>
  <c r="U100" i="1"/>
  <c r="D100" i="1"/>
  <c r="E100" i="1" s="1"/>
  <c r="F100" i="1" s="1"/>
  <c r="U59" i="1"/>
  <c r="D59" i="1"/>
  <c r="E59" i="1" s="1"/>
  <c r="F59" i="1" s="1"/>
  <c r="D60" i="1"/>
  <c r="E60" i="1" s="1"/>
  <c r="F60" i="1" s="1"/>
  <c r="U61" i="1"/>
  <c r="AO20" i="4"/>
  <c r="AP20" i="4" s="1"/>
  <c r="AQ20" i="4" s="1"/>
  <c r="AO19" i="4"/>
  <c r="AP19" i="4" s="1"/>
  <c r="AQ19" i="4" s="1"/>
  <c r="AS19" i="4" s="1"/>
  <c r="AT19" i="4" s="1"/>
  <c r="AK32" i="4"/>
  <c r="AL32" i="4" s="1"/>
  <c r="AK33" i="4"/>
  <c r="AL33" i="4" s="1"/>
  <c r="AL19" i="1"/>
  <c r="AM19" i="1" s="1"/>
  <c r="AK33" i="1"/>
  <c r="AL33" i="1" s="1"/>
  <c r="D307" i="1" l="1"/>
  <c r="E307" i="1" s="1"/>
  <c r="F307" i="1" s="1"/>
  <c r="U308" i="1"/>
  <c r="U306" i="1"/>
  <c r="D306" i="1"/>
  <c r="E306" i="1" s="1"/>
  <c r="F306" i="1" s="1"/>
  <c r="H264" i="1"/>
  <c r="I264" i="1" s="1"/>
  <c r="J264" i="1" s="1"/>
  <c r="L264" i="1" s="1"/>
  <c r="M264" i="1" s="1"/>
  <c r="H265" i="1"/>
  <c r="I265" i="1" s="1"/>
  <c r="J265" i="1" s="1"/>
  <c r="U277" i="1"/>
  <c r="V277" i="1" s="1"/>
  <c r="W277" i="1" s="1"/>
  <c r="X277" i="1" s="1"/>
  <c r="V264" i="1"/>
  <c r="W264" i="1" s="1"/>
  <c r="X264" i="1" s="1"/>
  <c r="U279" i="1"/>
  <c r="V278" i="1" s="1"/>
  <c r="W278" i="1" s="1"/>
  <c r="X278" i="1" s="1"/>
  <c r="V265" i="1"/>
  <c r="W265" i="1" s="1"/>
  <c r="X265" i="1" s="1"/>
  <c r="V224" i="1"/>
  <c r="W224" i="1" s="1"/>
  <c r="X224" i="1" s="1"/>
  <c r="U238" i="1"/>
  <c r="V237" i="1" s="1"/>
  <c r="W237" i="1" s="1"/>
  <c r="X237" i="1" s="1"/>
  <c r="U236" i="1"/>
  <c r="V236" i="1" s="1"/>
  <c r="W236" i="1" s="1"/>
  <c r="X236" i="1" s="1"/>
  <c r="V223" i="1"/>
  <c r="W223" i="1" s="1"/>
  <c r="X223" i="1" s="1"/>
  <c r="H224" i="1"/>
  <c r="I224" i="1" s="1"/>
  <c r="J224" i="1" s="1"/>
  <c r="H223" i="1"/>
  <c r="I223" i="1" s="1"/>
  <c r="J223" i="1" s="1"/>
  <c r="L223" i="1" s="1"/>
  <c r="M223" i="1" s="1"/>
  <c r="H183" i="1"/>
  <c r="I183" i="1" s="1"/>
  <c r="J183" i="1" s="1"/>
  <c r="H182" i="1"/>
  <c r="I182" i="1" s="1"/>
  <c r="J182" i="1" s="1"/>
  <c r="U197" i="1"/>
  <c r="V196" i="1" s="1"/>
  <c r="W196" i="1" s="1"/>
  <c r="X196" i="1" s="1"/>
  <c r="V183" i="1"/>
  <c r="W183" i="1" s="1"/>
  <c r="X183" i="1" s="1"/>
  <c r="U195" i="1"/>
  <c r="V195" i="1" s="1"/>
  <c r="W195" i="1" s="1"/>
  <c r="X195" i="1" s="1"/>
  <c r="V182" i="1"/>
  <c r="W182" i="1" s="1"/>
  <c r="X182" i="1" s="1"/>
  <c r="V142" i="1"/>
  <c r="W142" i="1" s="1"/>
  <c r="X142" i="1" s="1"/>
  <c r="U156" i="1"/>
  <c r="V155" i="1" s="1"/>
  <c r="W155" i="1" s="1"/>
  <c r="X155" i="1" s="1"/>
  <c r="U154" i="1"/>
  <c r="V154" i="1" s="1"/>
  <c r="W154" i="1" s="1"/>
  <c r="X154" i="1" s="1"/>
  <c r="V141" i="1"/>
  <c r="W141" i="1" s="1"/>
  <c r="X141" i="1" s="1"/>
  <c r="H141" i="1"/>
  <c r="I141" i="1" s="1"/>
  <c r="J141" i="1" s="1"/>
  <c r="H142" i="1"/>
  <c r="I142" i="1" s="1"/>
  <c r="J142" i="1" s="1"/>
  <c r="H100" i="1"/>
  <c r="I100" i="1" s="1"/>
  <c r="J100" i="1" s="1"/>
  <c r="L100" i="1" s="1"/>
  <c r="M100" i="1" s="1"/>
  <c r="H101" i="1"/>
  <c r="I101" i="1" s="1"/>
  <c r="J101" i="1" s="1"/>
  <c r="U113" i="1"/>
  <c r="V113" i="1" s="1"/>
  <c r="W113" i="1" s="1"/>
  <c r="X113" i="1" s="1"/>
  <c r="V100" i="1"/>
  <c r="W100" i="1" s="1"/>
  <c r="X100" i="1" s="1"/>
  <c r="U115" i="1"/>
  <c r="V114" i="1" s="1"/>
  <c r="W114" i="1" s="1"/>
  <c r="X114" i="1" s="1"/>
  <c r="V101" i="1"/>
  <c r="W101" i="1" s="1"/>
  <c r="X101" i="1" s="1"/>
  <c r="U74" i="1"/>
  <c r="V73" i="1" s="1"/>
  <c r="W73" i="1" s="1"/>
  <c r="X73" i="1" s="1"/>
  <c r="V60" i="1"/>
  <c r="W60" i="1" s="1"/>
  <c r="X60" i="1" s="1"/>
  <c r="H60" i="1"/>
  <c r="I60" i="1" s="1"/>
  <c r="J60" i="1" s="1"/>
  <c r="H59" i="1"/>
  <c r="I59" i="1" s="1"/>
  <c r="J59" i="1" s="1"/>
  <c r="U72" i="1"/>
  <c r="V72" i="1" s="1"/>
  <c r="W72" i="1" s="1"/>
  <c r="X72" i="1" s="1"/>
  <c r="V59" i="1"/>
  <c r="W59" i="1" s="1"/>
  <c r="X59" i="1" s="1"/>
  <c r="AM33" i="4"/>
  <c r="AM32" i="4"/>
  <c r="AO20" i="1"/>
  <c r="AP20" i="1" s="1"/>
  <c r="AQ20" i="1" s="1"/>
  <c r="AO19" i="1"/>
  <c r="AP19" i="1" s="1"/>
  <c r="AQ19" i="1" s="1"/>
  <c r="AT19" i="1" s="1"/>
  <c r="AM33" i="1"/>
  <c r="H307" i="1" l="1"/>
  <c r="I307" i="1" s="1"/>
  <c r="J307" i="1" s="1"/>
  <c r="H306" i="1"/>
  <c r="I306" i="1" s="1"/>
  <c r="J306" i="1" s="1"/>
  <c r="L306" i="1" s="1"/>
  <c r="M306" i="1" s="1"/>
  <c r="U319" i="1"/>
  <c r="V319" i="1" s="1"/>
  <c r="W319" i="1" s="1"/>
  <c r="X319" i="1" s="1"/>
  <c r="V306" i="1"/>
  <c r="W306" i="1" s="1"/>
  <c r="X306" i="1" s="1"/>
  <c r="U321" i="1"/>
  <c r="V320" i="1" s="1"/>
  <c r="W320" i="1" s="1"/>
  <c r="X320" i="1" s="1"/>
  <c r="V307" i="1"/>
  <c r="W307" i="1" s="1"/>
  <c r="X307" i="1" s="1"/>
  <c r="Z277" i="1"/>
  <c r="AA277" i="1" s="1"/>
  <c r="AB277" i="1" s="1"/>
  <c r="Z278" i="1"/>
  <c r="AA278" i="1" s="1"/>
  <c r="AB278" i="1" s="1"/>
  <c r="Z265" i="1"/>
  <c r="AA265" i="1" s="1"/>
  <c r="AB265" i="1" s="1"/>
  <c r="Z264" i="1"/>
  <c r="AA264" i="1" s="1"/>
  <c r="AB264" i="1" s="1"/>
  <c r="AD264" i="1" s="1"/>
  <c r="AE264" i="1" s="1"/>
  <c r="Z237" i="1"/>
  <c r="AA237" i="1" s="1"/>
  <c r="AB237" i="1" s="1"/>
  <c r="Z236" i="1"/>
  <c r="AA236" i="1" s="1"/>
  <c r="AB236" i="1" s="1"/>
  <c r="AD236" i="1" s="1"/>
  <c r="AE236" i="1" s="1"/>
  <c r="Z224" i="1"/>
  <c r="AA224" i="1" s="1"/>
  <c r="AB224" i="1" s="1"/>
  <c r="Z223" i="1"/>
  <c r="AA223" i="1" s="1"/>
  <c r="AB223" i="1" s="1"/>
  <c r="AD223" i="1" s="1"/>
  <c r="AE223" i="1" s="1"/>
  <c r="Z183" i="1"/>
  <c r="AA183" i="1" s="1"/>
  <c r="AB183" i="1" s="1"/>
  <c r="Z182" i="1"/>
  <c r="AA182" i="1" s="1"/>
  <c r="AB182" i="1" s="1"/>
  <c r="L182" i="1"/>
  <c r="M182" i="1" s="1"/>
  <c r="Z195" i="1"/>
  <c r="AA195" i="1" s="1"/>
  <c r="AB195" i="1" s="1"/>
  <c r="AD195" i="1" s="1"/>
  <c r="AE195" i="1" s="1"/>
  <c r="Z196" i="1"/>
  <c r="AA196" i="1" s="1"/>
  <c r="AB196" i="1" s="1"/>
  <c r="Z155" i="1"/>
  <c r="AA155" i="1" s="1"/>
  <c r="AB155" i="1" s="1"/>
  <c r="Z154" i="1"/>
  <c r="AA154" i="1" s="1"/>
  <c r="AB154" i="1" s="1"/>
  <c r="L141" i="1"/>
  <c r="M141" i="1" s="1"/>
  <c r="Z141" i="1"/>
  <c r="AA141" i="1" s="1"/>
  <c r="AB141" i="1" s="1"/>
  <c r="Z142" i="1"/>
  <c r="AA142" i="1" s="1"/>
  <c r="AB142" i="1" s="1"/>
  <c r="Z100" i="1"/>
  <c r="AA100" i="1" s="1"/>
  <c r="AB100" i="1" s="1"/>
  <c r="AD100" i="1" s="1"/>
  <c r="AE100" i="1" s="1"/>
  <c r="Z101" i="1"/>
  <c r="AA101" i="1" s="1"/>
  <c r="AB101" i="1" s="1"/>
  <c r="Z114" i="1"/>
  <c r="AA114" i="1" s="1"/>
  <c r="AB114" i="1" s="1"/>
  <c r="Z113" i="1"/>
  <c r="AA113" i="1" s="1"/>
  <c r="AB113" i="1" s="1"/>
  <c r="AD113" i="1" s="1"/>
  <c r="AE113" i="1" s="1"/>
  <c r="Z60" i="1"/>
  <c r="AA60" i="1" s="1"/>
  <c r="AB60" i="1" s="1"/>
  <c r="Z59" i="1"/>
  <c r="AA59" i="1" s="1"/>
  <c r="AB59" i="1" s="1"/>
  <c r="Z72" i="1"/>
  <c r="AA72" i="1" s="1"/>
  <c r="AB72" i="1" s="1"/>
  <c r="Z73" i="1"/>
  <c r="AA73" i="1" s="1"/>
  <c r="AB73" i="1" s="1"/>
  <c r="L59" i="1"/>
  <c r="M59" i="1" s="1"/>
  <c r="AO33" i="4"/>
  <c r="AP33" i="4" s="1"/>
  <c r="AQ33" i="4" s="1"/>
  <c r="AO32" i="4"/>
  <c r="AP32" i="4" s="1"/>
  <c r="AO32" i="1"/>
  <c r="AP32" i="1" s="1"/>
  <c r="AO33" i="1"/>
  <c r="AP33" i="1" s="1"/>
  <c r="AQ33" i="1" s="1"/>
  <c r="Z307" i="1" l="1"/>
  <c r="AA307" i="1" s="1"/>
  <c r="AB307" i="1" s="1"/>
  <c r="Z306" i="1"/>
  <c r="AA306" i="1" s="1"/>
  <c r="AB306" i="1" s="1"/>
  <c r="Z319" i="1"/>
  <c r="AA319" i="1" s="1"/>
  <c r="AB319" i="1" s="1"/>
  <c r="Z320" i="1"/>
  <c r="AA320" i="1" s="1"/>
  <c r="AB320" i="1" s="1"/>
  <c r="AD277" i="1"/>
  <c r="AE277" i="1" s="1"/>
  <c r="AD182" i="1"/>
  <c r="AE182" i="1" s="1"/>
  <c r="AD141" i="1"/>
  <c r="AE141" i="1" s="1"/>
  <c r="AD154" i="1"/>
  <c r="AE154" i="1" s="1"/>
  <c r="AD72" i="1"/>
  <c r="AE72" i="1" s="1"/>
  <c r="AD59" i="1"/>
  <c r="AE59" i="1" s="1"/>
  <c r="AQ32" i="4"/>
  <c r="AQ32" i="1"/>
  <c r="AS32" i="1" s="1"/>
  <c r="AT32" i="1" s="1"/>
  <c r="AR47" i="1" s="1"/>
  <c r="AD319" i="1" l="1"/>
  <c r="AE319" i="1" s="1"/>
  <c r="AD306" i="1"/>
  <c r="AE306" i="1" s="1"/>
  <c r="AS32" i="4"/>
  <c r="AT32" i="4" s="1"/>
  <c r="AQ41" i="4" s="1"/>
  <c r="AM41" i="1"/>
  <c r="AR48" i="1"/>
  <c r="AM42" i="1"/>
  <c r="AM41" i="4" l="1"/>
  <c r="AM42" i="4"/>
  <c r="AR48" i="4"/>
  <c r="AR47" i="4"/>
  <c r="AN49" i="1"/>
  <c r="AN50" i="1"/>
  <c r="AI41" i="1"/>
  <c r="AN47" i="1"/>
  <c r="AI42" i="1"/>
  <c r="AN48" i="1"/>
  <c r="AN49" i="4" l="1"/>
  <c r="AN50" i="4"/>
  <c r="AI42" i="4"/>
  <c r="AI41" i="4"/>
  <c r="AN47" i="4"/>
  <c r="AN48" i="4"/>
  <c r="AJ50" i="1"/>
  <c r="AJ49" i="1"/>
  <c r="AK48" i="1" s="1"/>
  <c r="AL48" i="1" s="1"/>
  <c r="AM48" i="1" s="1"/>
  <c r="AJ48" i="1"/>
  <c r="AJ47" i="1"/>
  <c r="AK47" i="1" s="1"/>
  <c r="AL47" i="1" s="1"/>
  <c r="AM47" i="1" s="1"/>
  <c r="AJ50" i="4" l="1"/>
  <c r="AJ49" i="4"/>
  <c r="AK48" i="4" s="1"/>
  <c r="AL48" i="4" s="1"/>
  <c r="AM48" i="4" s="1"/>
  <c r="AJ48" i="4"/>
  <c r="AJ47" i="4"/>
  <c r="AK47" i="4" s="1"/>
  <c r="AL47" i="4" s="1"/>
  <c r="AM47" i="4" s="1"/>
  <c r="AO47" i="1"/>
  <c r="AP47" i="1" s="1"/>
  <c r="AQ47" i="1" s="1"/>
  <c r="AO48" i="1"/>
  <c r="AP48" i="1" s="1"/>
  <c r="AQ48" i="1" s="1"/>
  <c r="AO48" i="4" l="1"/>
  <c r="AP48" i="4" s="1"/>
  <c r="AQ48" i="4" s="1"/>
  <c r="AO47" i="4"/>
  <c r="AP47" i="4" s="1"/>
  <c r="AQ47" i="4" s="1"/>
  <c r="AS47" i="4" s="1"/>
  <c r="AT47" i="4" s="1"/>
  <c r="AS47" i="1"/>
  <c r="AT47" i="1" s="1"/>
  <c r="F14" i="4" l="1"/>
  <c r="G22" i="4" s="1"/>
  <c r="Y7" i="4" s="1"/>
  <c r="K19" i="4"/>
  <c r="AC4" i="4" s="1"/>
  <c r="K20" i="4"/>
  <c r="AC5" i="4" s="1"/>
  <c r="B14" i="4"/>
  <c r="B13" i="4" l="1"/>
  <c r="G21" i="4"/>
  <c r="Y6" i="4" s="1"/>
  <c r="C22" i="4"/>
  <c r="U7" i="4" s="1"/>
  <c r="C21" i="4"/>
  <c r="G20" i="4"/>
  <c r="Y5" i="4" s="1"/>
  <c r="G19" i="4"/>
  <c r="Y4" i="4" s="1"/>
  <c r="C20" i="4" l="1"/>
  <c r="U5" i="4" s="1"/>
  <c r="C19" i="4"/>
  <c r="D20" i="4"/>
  <c r="E20" i="4" s="1"/>
  <c r="F20" i="4" s="1"/>
  <c r="U6" i="4"/>
  <c r="D19" i="4" l="1"/>
  <c r="E19" i="4" s="1"/>
  <c r="F19" i="4" s="1"/>
  <c r="H20" i="4" s="1"/>
  <c r="I20" i="4" s="1"/>
  <c r="J20" i="4" s="1"/>
  <c r="U4" i="4"/>
  <c r="V4" i="4" s="1"/>
  <c r="W4" i="4" s="1"/>
  <c r="X4" i="4" s="1"/>
  <c r="V5" i="4"/>
  <c r="W5" i="4" s="1"/>
  <c r="H19" i="4"/>
  <c r="I19" i="4" s="1"/>
  <c r="J19" i="4" s="1"/>
  <c r="L19" i="4" l="1"/>
  <c r="M19" i="4" s="1"/>
  <c r="X5" i="4"/>
  <c r="Z4" i="4" l="1"/>
  <c r="AA4" i="4" s="1"/>
  <c r="Z5" i="4"/>
  <c r="AA5" i="4" s="1"/>
  <c r="AB5" i="4" s="1"/>
  <c r="AC20" i="4" l="1"/>
  <c r="K36" i="4" s="1"/>
  <c r="AB4" i="4"/>
  <c r="AD4" i="4" l="1"/>
  <c r="AE4" i="4" s="1"/>
  <c r="O3" i="4" l="1"/>
  <c r="AB13" i="4"/>
  <c r="X14" i="4" l="1"/>
  <c r="X13" i="4"/>
  <c r="AC19" i="4"/>
  <c r="K35" i="4" s="1"/>
  <c r="T13" i="4" l="1"/>
  <c r="Y19" i="4"/>
  <c r="G35" i="4" s="1"/>
  <c r="T14" i="4"/>
  <c r="Y20" i="4"/>
  <c r="G36" i="4" s="1"/>
  <c r="Y21" i="4"/>
  <c r="G37" i="4" s="1"/>
  <c r="Y22" i="4"/>
  <c r="G38" i="4" s="1"/>
  <c r="U22" i="4" l="1"/>
  <c r="C38" i="4" s="1"/>
  <c r="U21" i="4"/>
  <c r="U20" i="4"/>
  <c r="C36" i="4" s="1"/>
  <c r="U19" i="4"/>
  <c r="V19" i="4" l="1"/>
  <c r="W19" i="4" s="1"/>
  <c r="X19" i="4" s="1"/>
  <c r="C35" i="4"/>
  <c r="C37" i="4"/>
  <c r="V20" i="4"/>
  <c r="W20" i="4" s="1"/>
  <c r="X20" i="4" s="1"/>
  <c r="D36" i="4" l="1"/>
  <c r="E36" i="4" s="1"/>
  <c r="D35" i="4"/>
  <c r="E35" i="4" s="1"/>
  <c r="Z19" i="4"/>
  <c r="AA19" i="4" s="1"/>
  <c r="AB19" i="4" s="1"/>
  <c r="Z20" i="4"/>
  <c r="AA20" i="4" s="1"/>
  <c r="AB20" i="4" s="1"/>
  <c r="AD19" i="4" l="1"/>
  <c r="AE19" i="4" s="1"/>
  <c r="F35" i="4"/>
  <c r="F36" i="4"/>
  <c r="H35" i="4" l="1"/>
  <c r="I35" i="4" s="1"/>
  <c r="H36" i="4"/>
  <c r="I36" i="4" s="1"/>
  <c r="J36" i="4" s="1"/>
  <c r="K51" i="4" l="1"/>
  <c r="AC36" i="4" s="1"/>
  <c r="J35" i="4"/>
  <c r="L35" i="4" l="1"/>
  <c r="M35" i="4" s="1"/>
  <c r="J44" i="4" l="1"/>
  <c r="F45" i="4" l="1"/>
  <c r="F44" i="4"/>
  <c r="K50" i="4"/>
  <c r="AC35" i="4" s="1"/>
  <c r="B45" i="4" l="1"/>
  <c r="B44" i="4"/>
  <c r="G50" i="4"/>
  <c r="Y35" i="4" s="1"/>
  <c r="G51" i="4"/>
  <c r="Y36" i="4" s="1"/>
  <c r="G53" i="4"/>
  <c r="Y38" i="4" s="1"/>
  <c r="G52" i="4"/>
  <c r="Y37" i="4" s="1"/>
  <c r="C51" i="4" l="1"/>
  <c r="U36" i="4" s="1"/>
  <c r="C50" i="4"/>
  <c r="C53" i="4"/>
  <c r="U38" i="4" s="1"/>
  <c r="C52" i="4"/>
  <c r="D51" i="4" l="1"/>
  <c r="E51" i="4" s="1"/>
  <c r="F51" i="4" s="1"/>
  <c r="U37" i="4"/>
  <c r="D50" i="4"/>
  <c r="E50" i="4" s="1"/>
  <c r="F50" i="4" s="1"/>
  <c r="U35" i="4"/>
  <c r="V35" i="4" l="1"/>
  <c r="W35" i="4" s="1"/>
  <c r="H50" i="4"/>
  <c r="I50" i="4" s="1"/>
  <c r="J50" i="4" s="1"/>
  <c r="H51" i="4"/>
  <c r="I51" i="4" s="1"/>
  <c r="J51" i="4" s="1"/>
  <c r="V36" i="4"/>
  <c r="W36" i="4" s="1"/>
  <c r="X36" i="4" l="1"/>
  <c r="L50" i="4"/>
  <c r="M50" i="4" s="1"/>
  <c r="X35" i="4"/>
  <c r="Z35" i="4" l="1"/>
  <c r="AA35" i="4" s="1"/>
  <c r="Z36" i="4"/>
  <c r="AA36" i="4" s="1"/>
  <c r="AB36" i="4" s="1"/>
  <c r="AC51" i="4" l="1"/>
  <c r="K67" i="4" s="1"/>
  <c r="AB35" i="4"/>
  <c r="AD35" i="4" l="1"/>
  <c r="AE35" i="4" s="1"/>
  <c r="AB44" i="4" l="1"/>
  <c r="O34" i="4"/>
  <c r="X45" i="4" l="1"/>
  <c r="X44" i="4"/>
  <c r="AC50" i="4"/>
  <c r="K66" i="4" s="1"/>
  <c r="T45" i="4" l="1"/>
  <c r="T44" i="4"/>
  <c r="Y50" i="4"/>
  <c r="G66" i="4" s="1"/>
  <c r="Y51" i="4"/>
  <c r="G67" i="4" s="1"/>
  <c r="Y53" i="4"/>
  <c r="G69" i="4" s="1"/>
  <c r="Y52" i="4"/>
  <c r="G68" i="4" s="1"/>
  <c r="U51" i="4" l="1"/>
  <c r="C67" i="4" s="1"/>
  <c r="U50" i="4"/>
  <c r="U53" i="4"/>
  <c r="C69" i="4" s="1"/>
  <c r="U52" i="4"/>
  <c r="C68" i="4" l="1"/>
  <c r="V51" i="4"/>
  <c r="W51" i="4" s="1"/>
  <c r="X51" i="4" s="1"/>
  <c r="C66" i="4"/>
  <c r="V50" i="4"/>
  <c r="W50" i="4" s="1"/>
  <c r="X50" i="4" s="1"/>
  <c r="Z50" i="4" l="1"/>
  <c r="AA50" i="4" s="1"/>
  <c r="AB50" i="4" s="1"/>
  <c r="Z51" i="4"/>
  <c r="AA51" i="4" s="1"/>
  <c r="AB51" i="4" s="1"/>
  <c r="D66" i="4"/>
  <c r="E66" i="4" s="1"/>
  <c r="D67" i="4"/>
  <c r="E67" i="4" s="1"/>
  <c r="F67" i="4" l="1"/>
  <c r="F66" i="4"/>
  <c r="AD50" i="4"/>
  <c r="AE50" i="4" s="1"/>
  <c r="H67" i="4" l="1"/>
  <c r="I67" i="4" s="1"/>
  <c r="J67" i="4" s="1"/>
  <c r="H66" i="4"/>
  <c r="I66" i="4" s="1"/>
  <c r="J66" i="4" l="1"/>
  <c r="K82" i="4"/>
  <c r="AC67" i="4" s="1"/>
  <c r="L66" i="4" l="1"/>
  <c r="M66" i="4" s="1"/>
  <c r="J75" i="4" s="1"/>
  <c r="K81" i="4" s="1"/>
  <c r="AC66" i="4" s="1"/>
  <c r="F75" i="4" l="1"/>
  <c r="F76" i="4"/>
  <c r="B76" i="4" l="1"/>
  <c r="B75" i="4"/>
  <c r="G82" i="4"/>
  <c r="Y67" i="4" s="1"/>
  <c r="G81" i="4"/>
  <c r="Y66" i="4" s="1"/>
  <c r="G83" i="4"/>
  <c r="Y68" i="4" s="1"/>
  <c r="G84" i="4"/>
  <c r="Y69" i="4" s="1"/>
  <c r="C82" i="4" l="1"/>
  <c r="U67" i="4" s="1"/>
  <c r="C81" i="4"/>
  <c r="C84" i="4"/>
  <c r="U69" i="4" s="1"/>
  <c r="C83" i="4"/>
  <c r="D81" i="4" l="1"/>
  <c r="E81" i="4" s="1"/>
  <c r="F81" i="4" s="1"/>
  <c r="U66" i="4"/>
  <c r="D82" i="4"/>
  <c r="E82" i="4" s="1"/>
  <c r="F82" i="4" s="1"/>
  <c r="U68" i="4"/>
  <c r="V67" i="4" l="1"/>
  <c r="W67" i="4" s="1"/>
  <c r="H81" i="4"/>
  <c r="I81" i="4" s="1"/>
  <c r="J81" i="4" s="1"/>
  <c r="H82" i="4"/>
  <c r="I82" i="4" s="1"/>
  <c r="J82" i="4" s="1"/>
  <c r="V66" i="4"/>
  <c r="W66" i="4" s="1"/>
  <c r="X66" i="4" l="1"/>
  <c r="X67" i="4"/>
  <c r="L81" i="4"/>
  <c r="M81" i="4" s="1"/>
  <c r="Z66" i="4" l="1"/>
  <c r="AA66" i="4" s="1"/>
  <c r="Z67" i="4"/>
  <c r="AA67" i="4" s="1"/>
  <c r="AB67" i="4" s="1"/>
  <c r="AC82" i="4" l="1"/>
  <c r="K98" i="4" s="1"/>
  <c r="AB66" i="4"/>
  <c r="AD66" i="4" l="1"/>
  <c r="AE66" i="4" s="1"/>
  <c r="AB75" i="4" s="1"/>
  <c r="AC81" i="4" s="1"/>
  <c r="K97" i="4" s="1"/>
  <c r="X76" i="4" l="1"/>
  <c r="X75" i="4"/>
  <c r="T75" i="4" l="1"/>
  <c r="T76" i="4"/>
  <c r="Y82" i="4"/>
  <c r="G98" i="4" s="1"/>
  <c r="Y81" i="4"/>
  <c r="G97" i="4" s="1"/>
  <c r="Y84" i="4"/>
  <c r="G100" i="4" s="1"/>
  <c r="Y83" i="4"/>
  <c r="G99" i="4" s="1"/>
  <c r="U84" i="4" l="1"/>
  <c r="C100" i="4" s="1"/>
  <c r="U83" i="4"/>
  <c r="U82" i="4"/>
  <c r="C98" i="4" s="1"/>
  <c r="U81" i="4"/>
  <c r="V81" i="4" l="1"/>
  <c r="W81" i="4" s="1"/>
  <c r="X81" i="4" s="1"/>
  <c r="C97" i="4"/>
  <c r="C99" i="4"/>
  <c r="V82" i="4"/>
  <c r="W82" i="4" s="1"/>
  <c r="X82" i="4" s="1"/>
  <c r="D98" i="4" l="1"/>
  <c r="E98" i="4" s="1"/>
  <c r="D97" i="4"/>
  <c r="E97" i="4" s="1"/>
  <c r="Z81" i="4"/>
  <c r="AA81" i="4" s="1"/>
  <c r="AB81" i="4" s="1"/>
  <c r="Z82" i="4"/>
  <c r="AA82" i="4" s="1"/>
  <c r="AB82" i="4" s="1"/>
  <c r="F98" i="4" l="1"/>
  <c r="AD81" i="4"/>
  <c r="AE81" i="4" s="1"/>
  <c r="F97" i="4"/>
  <c r="H97" i="4" l="1"/>
  <c r="I97" i="4" s="1"/>
  <c r="H98" i="4"/>
  <c r="I98" i="4" s="1"/>
  <c r="J98" i="4" s="1"/>
  <c r="K113" i="4" l="1"/>
  <c r="AC98" i="4" s="1"/>
  <c r="J97" i="4"/>
  <c r="L97" i="4" l="1"/>
  <c r="M97" i="4" s="1"/>
  <c r="J106" i="4" s="1"/>
  <c r="K112" i="4" s="1"/>
  <c r="AC97" i="4" s="1"/>
  <c r="F107" i="4" l="1"/>
  <c r="F106" i="4"/>
  <c r="B107" i="4" l="1"/>
  <c r="B106" i="4"/>
  <c r="G112" i="4"/>
  <c r="Y97" i="4" s="1"/>
  <c r="G113" i="4"/>
  <c r="Y98" i="4" s="1"/>
  <c r="G114" i="4"/>
  <c r="Y99" i="4" s="1"/>
  <c r="G115" i="4"/>
  <c r="Y100" i="4" s="1"/>
  <c r="C113" i="4" l="1"/>
  <c r="U98" i="4" s="1"/>
  <c r="C112" i="4"/>
  <c r="C115" i="4"/>
  <c r="U100" i="4" s="1"/>
  <c r="C114" i="4"/>
  <c r="U99" i="4" l="1"/>
  <c r="D113" i="4"/>
  <c r="E113" i="4" s="1"/>
  <c r="F113" i="4" s="1"/>
  <c r="D112" i="4"/>
  <c r="E112" i="4" s="1"/>
  <c r="F112" i="4" s="1"/>
  <c r="U97" i="4"/>
  <c r="V97" i="4" l="1"/>
  <c r="W97" i="4" s="1"/>
  <c r="H113" i="4"/>
  <c r="I113" i="4" s="1"/>
  <c r="J113" i="4" s="1"/>
  <c r="H112" i="4"/>
  <c r="I112" i="4" s="1"/>
  <c r="J112" i="4" s="1"/>
  <c r="V98" i="4"/>
  <c r="W98" i="4" s="1"/>
  <c r="L112" i="4" l="1"/>
  <c r="M112" i="4" s="1"/>
  <c r="X98" i="4"/>
  <c r="X97" i="4"/>
  <c r="Z98" i="4" l="1"/>
  <c r="AA98" i="4" s="1"/>
  <c r="AB98" i="4" s="1"/>
  <c r="Z97" i="4"/>
  <c r="AA97" i="4" s="1"/>
  <c r="AB97" i="4" l="1"/>
  <c r="AC113" i="4"/>
  <c r="K129" i="4" s="1"/>
  <c r="AD97" i="4" l="1"/>
  <c r="AE97" i="4" s="1"/>
  <c r="AB106" i="4" s="1"/>
  <c r="AC112" i="4" s="1"/>
  <c r="K128" i="4" s="1"/>
  <c r="X106" i="4" l="1"/>
  <c r="X107" i="4"/>
  <c r="Y114" i="4" l="1"/>
  <c r="G130" i="4" s="1"/>
  <c r="Y115" i="4"/>
  <c r="G131" i="4" s="1"/>
  <c r="T107" i="4"/>
  <c r="T106" i="4"/>
  <c r="Y112" i="4"/>
  <c r="G128" i="4" s="1"/>
  <c r="Y113" i="4"/>
  <c r="G129" i="4" s="1"/>
  <c r="U113" i="4" l="1"/>
  <c r="C129" i="4" s="1"/>
  <c r="U112" i="4"/>
  <c r="U115" i="4"/>
  <c r="C131" i="4" s="1"/>
  <c r="U114" i="4"/>
  <c r="V113" i="4" l="1"/>
  <c r="W113" i="4" s="1"/>
  <c r="X113" i="4" s="1"/>
  <c r="C130" i="4"/>
  <c r="C128" i="4"/>
  <c r="V112" i="4"/>
  <c r="W112" i="4" s="1"/>
  <c r="X112" i="4" s="1"/>
  <c r="Z112" i="4" l="1"/>
  <c r="AA112" i="4" s="1"/>
  <c r="AB112" i="4" s="1"/>
  <c r="Z113" i="4"/>
  <c r="AA113" i="4" s="1"/>
  <c r="AB113" i="4" s="1"/>
  <c r="D128" i="4"/>
  <c r="E128" i="4" s="1"/>
  <c r="D129" i="4"/>
  <c r="E129" i="4" s="1"/>
  <c r="F129" i="4" l="1"/>
  <c r="F128" i="4"/>
  <c r="AD112" i="4"/>
  <c r="AE112" i="4" s="1"/>
  <c r="H129" i="4" l="1"/>
  <c r="I129" i="4" s="1"/>
  <c r="J129" i="4" s="1"/>
  <c r="H128" i="4"/>
  <c r="I128" i="4" s="1"/>
  <c r="J128" i="4" l="1"/>
  <c r="K144" i="4"/>
  <c r="AC129" i="4" s="1"/>
  <c r="L128" i="4" l="1"/>
  <c r="M128" i="4" s="1"/>
  <c r="J137" i="4" s="1"/>
  <c r="K143" i="4" s="1"/>
  <c r="AC128" i="4" s="1"/>
  <c r="F138" i="4" l="1"/>
  <c r="F137" i="4"/>
  <c r="B138" i="4" l="1"/>
  <c r="B137" i="4"/>
  <c r="G143" i="4"/>
  <c r="Y128" i="4" s="1"/>
  <c r="G144" i="4"/>
  <c r="Y129" i="4" s="1"/>
  <c r="G145" i="4"/>
  <c r="Y130" i="4" s="1"/>
  <c r="G146" i="4"/>
  <c r="Y131" i="4" s="1"/>
  <c r="C144" i="4" l="1"/>
  <c r="U129" i="4" s="1"/>
  <c r="C143" i="4"/>
  <c r="C146" i="4"/>
  <c r="U131" i="4" s="1"/>
  <c r="C145" i="4"/>
  <c r="D143" i="4" l="1"/>
  <c r="E143" i="4" s="1"/>
  <c r="F143" i="4" s="1"/>
  <c r="U128" i="4"/>
  <c r="U130" i="4"/>
  <c r="D144" i="4"/>
  <c r="E144" i="4" s="1"/>
  <c r="F144" i="4" s="1"/>
  <c r="V129" i="4" l="1"/>
  <c r="W129" i="4" s="1"/>
  <c r="V128" i="4"/>
  <c r="W128" i="4" s="1"/>
  <c r="H143" i="4"/>
  <c r="I143" i="4" s="1"/>
  <c r="J143" i="4" s="1"/>
  <c r="H144" i="4"/>
  <c r="I144" i="4" s="1"/>
  <c r="J144" i="4" s="1"/>
  <c r="L143" i="4" l="1"/>
  <c r="M143" i="4" s="1"/>
  <c r="X128" i="4"/>
  <c r="X129" i="4"/>
  <c r="Z129" i="4" l="1"/>
  <c r="AA129" i="4" s="1"/>
  <c r="AB129" i="4" s="1"/>
  <c r="Z128" i="4"/>
  <c r="AA128" i="4" s="1"/>
  <c r="AC144" i="4" l="1"/>
  <c r="K160" i="4" s="1"/>
  <c r="AB128" i="4"/>
  <c r="AD128" i="4" l="1"/>
  <c r="AE128" i="4" s="1"/>
  <c r="AB137" i="4" s="1"/>
  <c r="X138" i="4" l="1"/>
  <c r="X137" i="4"/>
  <c r="AC143" i="4"/>
  <c r="K159" i="4" s="1"/>
  <c r="T137" i="4" l="1"/>
  <c r="T138" i="4"/>
  <c r="Y144" i="4"/>
  <c r="G160" i="4" s="1"/>
  <c r="Y143" i="4"/>
  <c r="G159" i="4" s="1"/>
  <c r="Y146" i="4"/>
  <c r="G162" i="4" s="1"/>
  <c r="Y145" i="4"/>
  <c r="G161" i="4" s="1"/>
  <c r="U146" i="4" l="1"/>
  <c r="C162" i="4" s="1"/>
  <c r="U145" i="4"/>
  <c r="U144" i="4"/>
  <c r="C160" i="4" s="1"/>
  <c r="U143" i="4"/>
  <c r="C161" i="4" l="1"/>
  <c r="V144" i="4"/>
  <c r="W144" i="4" s="1"/>
  <c r="X144" i="4" s="1"/>
  <c r="V143" i="4"/>
  <c r="W143" i="4" s="1"/>
  <c r="X143" i="4" s="1"/>
  <c r="C159" i="4"/>
  <c r="D159" i="4" l="1"/>
  <c r="E159" i="4" s="1"/>
  <c r="Z143" i="4"/>
  <c r="AA143" i="4" s="1"/>
  <c r="AB143" i="4" s="1"/>
  <c r="Z144" i="4"/>
  <c r="AA144" i="4" s="1"/>
  <c r="AB144" i="4" s="1"/>
  <c r="D160" i="4"/>
  <c r="E160" i="4" s="1"/>
  <c r="AD143" i="4" l="1"/>
  <c r="AE143" i="4" s="1"/>
  <c r="F160" i="4"/>
  <c r="F159" i="4"/>
  <c r="H160" i="4" l="1"/>
  <c r="I160" i="4" s="1"/>
  <c r="J160" i="4" s="1"/>
  <c r="H159" i="4"/>
  <c r="I159" i="4" s="1"/>
  <c r="J159" i="4" l="1"/>
  <c r="K175" i="4"/>
  <c r="AC160" i="4" s="1"/>
  <c r="L159" i="4" l="1"/>
  <c r="M159" i="4" s="1"/>
  <c r="J168" i="4" s="1"/>
  <c r="K174" i="4" s="1"/>
  <c r="AC159" i="4" s="1"/>
  <c r="F168" i="4" l="1"/>
  <c r="F169" i="4"/>
  <c r="G177" i="4" l="1"/>
  <c r="Y162" i="4" s="1"/>
  <c r="G176" i="4"/>
  <c r="Y161" i="4" s="1"/>
  <c r="B168" i="4"/>
  <c r="B169" i="4"/>
  <c r="G174" i="4"/>
  <c r="Y159" i="4" s="1"/>
  <c r="G175" i="4"/>
  <c r="Y160" i="4" s="1"/>
  <c r="C175" i="4" l="1"/>
  <c r="U160" i="4" s="1"/>
  <c r="C174" i="4"/>
  <c r="C177" i="4"/>
  <c r="U162" i="4" s="1"/>
  <c r="C176" i="4"/>
  <c r="U161" i="4" l="1"/>
  <c r="D175" i="4"/>
  <c r="E175" i="4" s="1"/>
  <c r="F175" i="4" s="1"/>
  <c r="D174" i="4"/>
  <c r="E174" i="4" s="1"/>
  <c r="F174" i="4" s="1"/>
  <c r="U159" i="4"/>
  <c r="H175" i="4" l="1"/>
  <c r="I175" i="4" s="1"/>
  <c r="J175" i="4" s="1"/>
  <c r="H174" i="4"/>
  <c r="I174" i="4" s="1"/>
  <c r="J174" i="4" s="1"/>
  <c r="L174" i="4" s="1"/>
  <c r="M174" i="4" s="1"/>
  <c r="V159" i="4"/>
  <c r="W159" i="4" s="1"/>
  <c r="V160" i="4"/>
  <c r="W160" i="4" s="1"/>
  <c r="X160" i="4" l="1"/>
  <c r="X159" i="4"/>
  <c r="Z159" i="4" l="1"/>
  <c r="AA159" i="4" s="1"/>
  <c r="Z160" i="4"/>
  <c r="AA160" i="4" s="1"/>
  <c r="AB160" i="4" s="1"/>
  <c r="AB159" i="4" l="1"/>
  <c r="AC175" i="4"/>
  <c r="K191" i="4" s="1"/>
  <c r="AD159" i="4" l="1"/>
  <c r="AE159" i="4" s="1"/>
  <c r="AB168" i="4" s="1"/>
  <c r="AC174" i="4" s="1"/>
  <c r="K190" i="4" s="1"/>
  <c r="X168" i="4" l="1"/>
  <c r="X169" i="4"/>
  <c r="Y177" i="4" l="1"/>
  <c r="G193" i="4" s="1"/>
  <c r="Y176" i="4"/>
  <c r="G192" i="4" s="1"/>
  <c r="T169" i="4"/>
  <c r="T168" i="4"/>
  <c r="Y175" i="4"/>
  <c r="G191" i="4" s="1"/>
  <c r="Y174" i="4"/>
  <c r="G190" i="4" s="1"/>
  <c r="U175" i="4" l="1"/>
  <c r="C191" i="4" s="1"/>
  <c r="U174" i="4"/>
  <c r="U177" i="4"/>
  <c r="C193" i="4" s="1"/>
  <c r="U176" i="4"/>
  <c r="C192" i="4" l="1"/>
  <c r="V175" i="4"/>
  <c r="W175" i="4" s="1"/>
  <c r="X175" i="4" s="1"/>
  <c r="C190" i="4"/>
  <c r="V174" i="4"/>
  <c r="W174" i="4" s="1"/>
  <c r="X174" i="4" s="1"/>
  <c r="D190" i="4" l="1"/>
  <c r="E190" i="4" s="1"/>
  <c r="Z175" i="4"/>
  <c r="AA175" i="4" s="1"/>
  <c r="AB175" i="4" s="1"/>
  <c r="Z174" i="4"/>
  <c r="AA174" i="4" s="1"/>
  <c r="AB174" i="4" s="1"/>
  <c r="D191" i="4"/>
  <c r="E191" i="4" s="1"/>
  <c r="AD174" i="4" l="1"/>
  <c r="AE174" i="4" s="1"/>
  <c r="F191" i="4"/>
  <c r="F190" i="4"/>
  <c r="H191" i="4" l="1"/>
  <c r="I191" i="4" s="1"/>
  <c r="J191" i="4" s="1"/>
  <c r="H190" i="4"/>
  <c r="I190" i="4" s="1"/>
  <c r="J190" i="4" l="1"/>
  <c r="K206" i="4"/>
  <c r="AC191" i="4" s="1"/>
  <c r="L190" i="4" l="1"/>
  <c r="M190" i="4" s="1"/>
  <c r="J199" i="4" s="1"/>
  <c r="F199" i="4" l="1"/>
  <c r="F200" i="4"/>
  <c r="K205" i="4"/>
  <c r="AC190" i="4" s="1"/>
  <c r="G208" i="4" l="1"/>
  <c r="Y193" i="4" s="1"/>
  <c r="G207" i="4"/>
  <c r="Y192" i="4" s="1"/>
  <c r="B200" i="4"/>
  <c r="B199" i="4"/>
  <c r="G206" i="4"/>
  <c r="Y191" i="4" s="1"/>
  <c r="G205" i="4"/>
  <c r="Y190" i="4" s="1"/>
  <c r="C206" i="4" l="1"/>
  <c r="U191" i="4" s="1"/>
  <c r="C205" i="4"/>
  <c r="C208" i="4"/>
  <c r="U193" i="4" s="1"/>
  <c r="C207" i="4"/>
  <c r="D206" i="4" l="1"/>
  <c r="E206" i="4" s="1"/>
  <c r="F206" i="4" s="1"/>
  <c r="U192" i="4"/>
  <c r="D205" i="4"/>
  <c r="E205" i="4" s="1"/>
  <c r="F205" i="4" s="1"/>
  <c r="U190" i="4"/>
  <c r="H205" i="4" l="1"/>
  <c r="I205" i="4" s="1"/>
  <c r="J205" i="4" s="1"/>
  <c r="H206" i="4"/>
  <c r="I206" i="4" s="1"/>
  <c r="J206" i="4" s="1"/>
  <c r="V191" i="4"/>
  <c r="W191" i="4" s="1"/>
  <c r="V190" i="4"/>
  <c r="W190" i="4" s="1"/>
  <c r="X190" i="4" l="1"/>
  <c r="X191" i="4"/>
  <c r="L205" i="4"/>
  <c r="M205" i="4" s="1"/>
  <c r="Z191" i="4" l="1"/>
  <c r="AA191" i="4" s="1"/>
  <c r="AB191" i="4" s="1"/>
  <c r="Z190" i="4"/>
  <c r="AA190" i="4" s="1"/>
  <c r="AC206" i="4" l="1"/>
  <c r="K222" i="4" s="1"/>
  <c r="AB190" i="4"/>
  <c r="AD190" i="4" l="1"/>
  <c r="AE190" i="4" s="1"/>
  <c r="AB199" i="4" s="1"/>
  <c r="AC205" i="4" s="1"/>
  <c r="K221" i="4" s="1"/>
  <c r="X200" i="4" l="1"/>
  <c r="X199" i="4"/>
  <c r="T200" i="4" l="1"/>
  <c r="T199" i="4"/>
  <c r="Y206" i="4"/>
  <c r="G222" i="4" s="1"/>
  <c r="Y205" i="4"/>
  <c r="G221" i="4" s="1"/>
  <c r="Y208" i="4"/>
  <c r="G224" i="4" s="1"/>
  <c r="Y207" i="4"/>
  <c r="G223" i="4" s="1"/>
  <c r="U206" i="4" l="1"/>
  <c r="C222" i="4" s="1"/>
  <c r="U205" i="4"/>
  <c r="U208" i="4"/>
  <c r="C224" i="4" s="1"/>
  <c r="U207" i="4"/>
  <c r="C223" i="4" l="1"/>
  <c r="V206" i="4"/>
  <c r="W206" i="4" s="1"/>
  <c r="X206" i="4" s="1"/>
  <c r="V205" i="4"/>
  <c r="W205" i="4" s="1"/>
  <c r="X205" i="4" s="1"/>
  <c r="C221" i="4"/>
  <c r="D221" i="4" l="1"/>
  <c r="E221" i="4" s="1"/>
  <c r="Z205" i="4"/>
  <c r="AA205" i="4" s="1"/>
  <c r="AB205" i="4" s="1"/>
  <c r="Z206" i="4"/>
  <c r="AA206" i="4" s="1"/>
  <c r="AB206" i="4" s="1"/>
  <c r="D222" i="4"/>
  <c r="E222" i="4" s="1"/>
  <c r="F222" i="4" l="1"/>
  <c r="AD205" i="4"/>
  <c r="AE205" i="4" s="1"/>
  <c r="F221" i="4"/>
  <c r="H221" i="4" l="1"/>
  <c r="I221" i="4" s="1"/>
  <c r="H222" i="4"/>
  <c r="I222" i="4" s="1"/>
  <c r="J222" i="4" s="1"/>
  <c r="K237" i="4" l="1"/>
  <c r="AC222" i="4" s="1"/>
  <c r="J221" i="4"/>
  <c r="L221" i="4" l="1"/>
  <c r="M221" i="4" s="1"/>
  <c r="J230" i="4" s="1"/>
  <c r="K236" i="4" s="1"/>
  <c r="AC221" i="4" s="1"/>
  <c r="F231" i="4" l="1"/>
  <c r="F230" i="4"/>
  <c r="G239" i="4" l="1"/>
  <c r="Y224" i="4" s="1"/>
  <c r="G238" i="4"/>
  <c r="Y223" i="4" s="1"/>
  <c r="B231" i="4"/>
  <c r="B230" i="4"/>
  <c r="G236" i="4"/>
  <c r="Y221" i="4" s="1"/>
  <c r="G237" i="4"/>
  <c r="Y222" i="4" s="1"/>
  <c r="C239" i="4" l="1"/>
  <c r="U224" i="4" s="1"/>
  <c r="C238" i="4"/>
  <c r="C237" i="4"/>
  <c r="U222" i="4" s="1"/>
  <c r="C236" i="4"/>
  <c r="U221" i="4" l="1"/>
  <c r="D236" i="4"/>
  <c r="E236" i="4" s="1"/>
  <c r="F236" i="4" s="1"/>
  <c r="U223" i="4"/>
  <c r="D237" i="4"/>
  <c r="E237" i="4" s="1"/>
  <c r="F237" i="4" s="1"/>
  <c r="V222" i="4" l="1"/>
  <c r="W222" i="4" s="1"/>
  <c r="H237" i="4"/>
  <c r="I237" i="4" s="1"/>
  <c r="J237" i="4" s="1"/>
  <c r="H236" i="4"/>
  <c r="I236" i="4" s="1"/>
  <c r="J236" i="4" s="1"/>
  <c r="V221" i="4"/>
  <c r="W221" i="4" s="1"/>
  <c r="L236" i="4" l="1"/>
  <c r="M236" i="4" s="1"/>
  <c r="X221" i="4"/>
  <c r="X222" i="4"/>
  <c r="Z222" i="4" l="1"/>
  <c r="AA222" i="4" s="1"/>
  <c r="AB222" i="4" s="1"/>
  <c r="Z221" i="4"/>
  <c r="AA221" i="4" s="1"/>
  <c r="AB221" i="4" l="1"/>
  <c r="AC237" i="4"/>
  <c r="K253" i="4" s="1"/>
  <c r="AD221" i="4" l="1"/>
  <c r="AE221" i="4" s="1"/>
  <c r="AB230" i="4" s="1"/>
  <c r="X230" i="4" l="1"/>
  <c r="X231" i="4"/>
  <c r="AC236" i="4"/>
  <c r="K252" i="4" s="1"/>
  <c r="Y238" i="4" l="1"/>
  <c r="G254" i="4" s="1"/>
  <c r="Y239" i="4"/>
  <c r="G255" i="4" s="1"/>
  <c r="T230" i="4"/>
  <c r="T231" i="4"/>
  <c r="Y236" i="4"/>
  <c r="G252" i="4" s="1"/>
  <c r="Y237" i="4"/>
  <c r="G253" i="4" s="1"/>
  <c r="U239" i="4" l="1"/>
  <c r="C255" i="4" s="1"/>
  <c r="U238" i="4"/>
  <c r="U237" i="4"/>
  <c r="C253" i="4" s="1"/>
  <c r="U236" i="4"/>
  <c r="C252" i="4" l="1"/>
  <c r="V236" i="4"/>
  <c r="W236" i="4" s="1"/>
  <c r="X236" i="4" s="1"/>
  <c r="V237" i="4"/>
  <c r="W237" i="4" s="1"/>
  <c r="X237" i="4" s="1"/>
  <c r="C254" i="4"/>
  <c r="D253" i="4" l="1"/>
  <c r="E253" i="4" s="1"/>
  <c r="Z236" i="4"/>
  <c r="AA236" i="4" s="1"/>
  <c r="AB236" i="4" s="1"/>
  <c r="Z237" i="4"/>
  <c r="AA237" i="4" s="1"/>
  <c r="AB237" i="4" s="1"/>
  <c r="D252" i="4"/>
  <c r="E252" i="4" s="1"/>
  <c r="AD236" i="4" l="1"/>
  <c r="AE236" i="4" s="1"/>
  <c r="F252" i="4"/>
  <c r="F253" i="4"/>
  <c r="H253" i="4" l="1"/>
  <c r="I253" i="4" s="1"/>
  <c r="J253" i="4" s="1"/>
  <c r="H252" i="4"/>
  <c r="I252" i="4" s="1"/>
  <c r="J252" i="4" l="1"/>
  <c r="K268" i="4"/>
  <c r="AC253" i="4" s="1"/>
  <c r="L252" i="4" l="1"/>
  <c r="M252" i="4" s="1"/>
  <c r="J261" i="4" s="1"/>
  <c r="K267" i="4" s="1"/>
  <c r="AC252" i="4" s="1"/>
  <c r="F261" i="4" l="1"/>
  <c r="F262" i="4"/>
  <c r="G269" i="4" l="1"/>
  <c r="Y254" i="4" s="1"/>
  <c r="G270" i="4"/>
  <c r="Y255" i="4" s="1"/>
  <c r="B261" i="4"/>
  <c r="B262" i="4"/>
  <c r="G267" i="4"/>
  <c r="Y252" i="4" s="1"/>
  <c r="G268" i="4"/>
  <c r="Y253" i="4" s="1"/>
  <c r="C270" i="4" l="1"/>
  <c r="U255" i="4" s="1"/>
  <c r="C269" i="4"/>
  <c r="C268" i="4"/>
  <c r="U253" i="4" s="1"/>
  <c r="C267" i="4"/>
  <c r="U252" i="4" l="1"/>
  <c r="D267" i="4"/>
  <c r="E267" i="4" s="1"/>
  <c r="F267" i="4" s="1"/>
  <c r="U254" i="4"/>
  <c r="D268" i="4"/>
  <c r="E268" i="4" s="1"/>
  <c r="F268" i="4" s="1"/>
  <c r="V253" i="4" l="1"/>
  <c r="W253" i="4" s="1"/>
  <c r="H268" i="4"/>
  <c r="I268" i="4" s="1"/>
  <c r="J268" i="4" s="1"/>
  <c r="H267" i="4"/>
  <c r="I267" i="4" s="1"/>
  <c r="J267" i="4" s="1"/>
  <c r="L267" i="4" s="1"/>
  <c r="M267" i="4" s="1"/>
  <c r="V252" i="4"/>
  <c r="W252" i="4" s="1"/>
  <c r="X253" i="4" l="1"/>
  <c r="X252" i="4"/>
  <c r="Z252" i="4" l="1"/>
  <c r="AA252" i="4" s="1"/>
  <c r="Z253" i="4"/>
  <c r="AA253" i="4" s="1"/>
  <c r="AB253" i="4" s="1"/>
  <c r="AC268" i="4" l="1"/>
  <c r="K284" i="4" s="1"/>
  <c r="AB252" i="4"/>
  <c r="AD252" i="4" l="1"/>
  <c r="AE252" i="4" s="1"/>
  <c r="AB261" i="4" s="1"/>
  <c r="X262" i="4" l="1"/>
  <c r="X261" i="4"/>
  <c r="AC267" i="4"/>
  <c r="K283" i="4" s="1"/>
  <c r="T262" i="4" l="1"/>
  <c r="T261" i="4"/>
  <c r="Y267" i="4"/>
  <c r="G283" i="4" s="1"/>
  <c r="Y268" i="4"/>
  <c r="G284" i="4" s="1"/>
  <c r="Y269" i="4"/>
  <c r="G285" i="4" s="1"/>
  <c r="Y270" i="4"/>
  <c r="G286" i="4" s="1"/>
  <c r="U268" i="4" l="1"/>
  <c r="C284" i="4" s="1"/>
  <c r="U267" i="4"/>
  <c r="U270" i="4"/>
  <c r="C286" i="4" s="1"/>
  <c r="U269" i="4"/>
  <c r="V268" i="4" l="1"/>
  <c r="W268" i="4" s="1"/>
  <c r="X268" i="4" s="1"/>
  <c r="C285" i="4"/>
  <c r="V267" i="4"/>
  <c r="W267" i="4" s="1"/>
  <c r="X267" i="4" s="1"/>
  <c r="C283" i="4"/>
  <c r="D283" i="4" l="1"/>
  <c r="E283" i="4" s="1"/>
  <c r="Z268" i="4"/>
  <c r="AA268" i="4" s="1"/>
  <c r="AB268" i="4" s="1"/>
  <c r="Z267" i="4"/>
  <c r="AA267" i="4" s="1"/>
  <c r="AB267" i="4" s="1"/>
  <c r="D284" i="4"/>
  <c r="E284" i="4" s="1"/>
  <c r="F284" i="4" l="1"/>
  <c r="AD267" i="4"/>
  <c r="AE267" i="4" s="1"/>
  <c r="F283" i="4"/>
  <c r="H283" i="4" l="1"/>
  <c r="I283" i="4" s="1"/>
  <c r="H284" i="4"/>
  <c r="I284" i="4" s="1"/>
  <c r="J284" i="4" s="1"/>
  <c r="K299" i="4" l="1"/>
  <c r="AC284" i="4" s="1"/>
  <c r="J283" i="4"/>
  <c r="L283" i="4" l="1"/>
  <c r="M283" i="4" s="1"/>
  <c r="J292" i="4" s="1"/>
  <c r="K298" i="4" s="1"/>
  <c r="AC283" i="4" s="1"/>
  <c r="F293" i="4" l="1"/>
  <c r="F292" i="4"/>
  <c r="G301" i="4" l="1"/>
  <c r="Y286" i="4" s="1"/>
  <c r="G300" i="4"/>
  <c r="Y285" i="4" s="1"/>
  <c r="B293" i="4"/>
  <c r="B292" i="4"/>
  <c r="G299" i="4"/>
  <c r="Y284" i="4" s="1"/>
  <c r="G298" i="4"/>
  <c r="Y283" i="4" s="1"/>
  <c r="C299" i="4" l="1"/>
  <c r="U284" i="4" s="1"/>
  <c r="C298" i="4"/>
  <c r="C301" i="4"/>
  <c r="U286" i="4" s="1"/>
  <c r="C300" i="4"/>
  <c r="D299" i="4" l="1"/>
  <c r="E299" i="4" s="1"/>
  <c r="F299" i="4" s="1"/>
  <c r="U285" i="4"/>
  <c r="D298" i="4"/>
  <c r="E298" i="4" s="1"/>
  <c r="F298" i="4" s="1"/>
  <c r="U283" i="4"/>
  <c r="V283" i="4" l="1"/>
  <c r="W283" i="4" s="1"/>
  <c r="V284" i="4"/>
  <c r="W284" i="4" s="1"/>
  <c r="H298" i="4"/>
  <c r="I298" i="4" s="1"/>
  <c r="J298" i="4" s="1"/>
  <c r="H299" i="4"/>
  <c r="I299" i="4" s="1"/>
  <c r="J299" i="4" s="1"/>
  <c r="X284" i="4" l="1"/>
  <c r="L298" i="4"/>
  <c r="M298" i="4" s="1"/>
  <c r="X283" i="4"/>
  <c r="Z284" i="4" l="1"/>
  <c r="AA284" i="4" s="1"/>
  <c r="AB284" i="4" s="1"/>
  <c r="Z283" i="4"/>
  <c r="AA283" i="4" s="1"/>
  <c r="AB283" i="4" l="1"/>
  <c r="AC299" i="4"/>
  <c r="K315" i="4" s="1"/>
  <c r="AD283" i="4" l="1"/>
  <c r="AE283" i="4" s="1"/>
  <c r="AB292" i="4" s="1"/>
  <c r="AC298" i="4" s="1"/>
  <c r="K314" i="4" s="1"/>
  <c r="X293" i="4" l="1"/>
  <c r="X292" i="4"/>
  <c r="T293" i="4" l="1"/>
  <c r="T292" i="4"/>
  <c r="Y299" i="4"/>
  <c r="G315" i="4" s="1"/>
  <c r="Y298" i="4"/>
  <c r="G314" i="4" s="1"/>
  <c r="Y300" i="4"/>
  <c r="G316" i="4" s="1"/>
  <c r="Y301" i="4"/>
  <c r="G317" i="4" s="1"/>
  <c r="U299" i="4" l="1"/>
  <c r="C315" i="4" s="1"/>
  <c r="U298" i="4"/>
  <c r="U301" i="4"/>
  <c r="C317" i="4" s="1"/>
  <c r="U300" i="4"/>
  <c r="V299" i="4" l="1"/>
  <c r="W299" i="4" s="1"/>
  <c r="X299" i="4" s="1"/>
  <c r="C316" i="4"/>
  <c r="C314" i="4"/>
  <c r="V298" i="4"/>
  <c r="W298" i="4" s="1"/>
  <c r="X298" i="4" s="1"/>
  <c r="D315" i="4" l="1"/>
  <c r="E315" i="4" s="1"/>
  <c r="Z298" i="4"/>
  <c r="AA298" i="4" s="1"/>
  <c r="AB298" i="4" s="1"/>
  <c r="Z299" i="4"/>
  <c r="AA299" i="4" s="1"/>
  <c r="AB299" i="4" s="1"/>
  <c r="D314" i="4"/>
  <c r="E314" i="4" s="1"/>
  <c r="F314" i="4" l="1"/>
  <c r="F315" i="4"/>
  <c r="AD298" i="4"/>
  <c r="AE298" i="4" s="1"/>
  <c r="H314" i="4" l="1"/>
  <c r="I314" i="4" s="1"/>
  <c r="H315" i="4"/>
  <c r="I315" i="4" s="1"/>
  <c r="J315" i="4" s="1"/>
  <c r="K330" i="4" l="1"/>
  <c r="AC315" i="4" s="1"/>
  <c r="J314" i="4"/>
  <c r="L314" i="4" l="1"/>
  <c r="M314" i="4" s="1"/>
  <c r="J323" i="4" s="1"/>
  <c r="K329" i="4" s="1"/>
  <c r="AC314" i="4" s="1"/>
  <c r="F324" i="4" l="1"/>
  <c r="F323" i="4"/>
  <c r="B323" i="4" l="1"/>
  <c r="B324" i="4"/>
  <c r="G330" i="4"/>
  <c r="Y315" i="4" s="1"/>
  <c r="G329" i="4"/>
  <c r="Y314" i="4" s="1"/>
  <c r="G331" i="4"/>
  <c r="Y316" i="4" s="1"/>
  <c r="G332" i="4"/>
  <c r="Y317" i="4" s="1"/>
  <c r="C332" i="4" l="1"/>
  <c r="U317" i="4" s="1"/>
  <c r="C331" i="4"/>
  <c r="C330" i="4"/>
  <c r="U315" i="4" s="1"/>
  <c r="C329" i="4"/>
  <c r="D329" i="4" l="1"/>
  <c r="E329" i="4" s="1"/>
  <c r="F329" i="4" s="1"/>
  <c r="U314" i="4"/>
  <c r="U316" i="4"/>
  <c r="D330" i="4"/>
  <c r="E330" i="4" s="1"/>
  <c r="F330" i="4" s="1"/>
  <c r="V315" i="4" l="1"/>
  <c r="W315" i="4" s="1"/>
  <c r="V314" i="4"/>
  <c r="W314" i="4" s="1"/>
  <c r="H330" i="4"/>
  <c r="I330" i="4" s="1"/>
  <c r="J330" i="4" s="1"/>
  <c r="H329" i="4"/>
  <c r="I329" i="4" s="1"/>
  <c r="J329" i="4" s="1"/>
  <c r="L329" i="4" s="1"/>
  <c r="M329" i="4" s="1"/>
  <c r="X314" i="4" l="1"/>
  <c r="X315" i="4"/>
  <c r="Z315" i="4" l="1"/>
  <c r="AA315" i="4" s="1"/>
  <c r="AB315" i="4" s="1"/>
  <c r="Z314" i="4"/>
  <c r="AA314" i="4" s="1"/>
  <c r="AC330" i="4" l="1"/>
  <c r="K346" i="4" s="1"/>
  <c r="AB314" i="4"/>
  <c r="AD314" i="4" l="1"/>
  <c r="AE314" i="4" s="1"/>
  <c r="AB323" i="4" s="1"/>
  <c r="AC329" i="4" s="1"/>
  <c r="K345" i="4" s="1"/>
  <c r="X324" i="4" l="1"/>
  <c r="X323" i="4"/>
  <c r="Y332" i="4" l="1"/>
  <c r="G348" i="4" s="1"/>
  <c r="Y331" i="4"/>
  <c r="G347" i="4" s="1"/>
  <c r="T323" i="4"/>
  <c r="T324" i="4"/>
  <c r="Y330" i="4"/>
  <c r="G346" i="4" s="1"/>
  <c r="Y329" i="4"/>
  <c r="G345" i="4" s="1"/>
  <c r="U330" i="4" l="1"/>
  <c r="C346" i="4" s="1"/>
  <c r="U329" i="4"/>
  <c r="U332" i="4"/>
  <c r="C348" i="4" s="1"/>
  <c r="U331" i="4"/>
  <c r="V330" i="4" l="1"/>
  <c r="W330" i="4" s="1"/>
  <c r="X330" i="4" s="1"/>
  <c r="C347" i="4"/>
  <c r="C345" i="4"/>
  <c r="V329" i="4"/>
  <c r="W329" i="4" s="1"/>
  <c r="X329" i="4" s="1"/>
  <c r="Z329" i="4" l="1"/>
  <c r="AA329" i="4" s="1"/>
  <c r="AB329" i="4" s="1"/>
  <c r="Z330" i="4"/>
  <c r="AA330" i="4" s="1"/>
  <c r="AB330" i="4" s="1"/>
  <c r="D346" i="4"/>
  <c r="E346" i="4" s="1"/>
  <c r="D345" i="4"/>
  <c r="E345" i="4" s="1"/>
  <c r="AD329" i="4" l="1"/>
  <c r="AE329" i="4" s="1"/>
  <c r="F345" i="4"/>
  <c r="F346" i="4"/>
  <c r="H346" i="4" l="1"/>
  <c r="I346" i="4" s="1"/>
  <c r="J346" i="4" s="1"/>
  <c r="H345" i="4"/>
  <c r="I345" i="4" s="1"/>
  <c r="K361" i="4" l="1"/>
  <c r="AC346" i="4" s="1"/>
  <c r="J345" i="4"/>
  <c r="L345" i="4" l="1"/>
  <c r="M345" i="4" s="1"/>
  <c r="J354" i="4" s="1"/>
  <c r="F355" i="4" l="1"/>
  <c r="F354" i="4"/>
  <c r="K360" i="4"/>
  <c r="AC345" i="4" s="1"/>
  <c r="B354" i="4" l="1"/>
  <c r="B355" i="4"/>
  <c r="G361" i="4"/>
  <c r="Y346" i="4" s="1"/>
  <c r="G360" i="4"/>
  <c r="Y345" i="4" s="1"/>
  <c r="G363" i="4"/>
  <c r="Y348" i="4" s="1"/>
  <c r="G362" i="4"/>
  <c r="Y347" i="4" s="1"/>
  <c r="C363" i="4" l="1"/>
  <c r="U348" i="4" s="1"/>
  <c r="C362" i="4"/>
  <c r="C361" i="4"/>
  <c r="U346" i="4" s="1"/>
  <c r="C360" i="4"/>
  <c r="U345" i="4" l="1"/>
  <c r="D360" i="4"/>
  <c r="E360" i="4" s="1"/>
  <c r="F360" i="4" s="1"/>
  <c r="D361" i="4"/>
  <c r="E361" i="4" s="1"/>
  <c r="F361" i="4" s="1"/>
  <c r="U347" i="4"/>
  <c r="V346" i="4" l="1"/>
  <c r="W346" i="4" s="1"/>
  <c r="H360" i="4"/>
  <c r="I360" i="4" s="1"/>
  <c r="J360" i="4" s="1"/>
  <c r="H361" i="4"/>
  <c r="I361" i="4" s="1"/>
  <c r="J361" i="4" s="1"/>
  <c r="V345" i="4"/>
  <c r="W345" i="4" s="1"/>
  <c r="X345" i="4" l="1"/>
  <c r="X346" i="4"/>
  <c r="L360" i="4"/>
  <c r="M360" i="4" s="1"/>
  <c r="Z345" i="4" l="1"/>
  <c r="AA345" i="4" s="1"/>
  <c r="Z346" i="4"/>
  <c r="AA346" i="4" s="1"/>
  <c r="AB346" i="4" s="1"/>
  <c r="AB345" i="4" l="1"/>
  <c r="AC361" i="4"/>
  <c r="K377" i="4" s="1"/>
  <c r="AD345" i="4" l="1"/>
  <c r="AE345" i="4" s="1"/>
  <c r="AB354" i="4" s="1"/>
  <c r="X355" i="4" l="1"/>
  <c r="X354" i="4"/>
  <c r="AC360" i="4"/>
  <c r="K376" i="4" s="1"/>
  <c r="T354" i="4" l="1"/>
  <c r="T355" i="4"/>
  <c r="Y361" i="4"/>
  <c r="G377" i="4" s="1"/>
  <c r="Y360" i="4"/>
  <c r="G376" i="4" s="1"/>
  <c r="Y363" i="4"/>
  <c r="G379" i="4" s="1"/>
  <c r="Y362" i="4"/>
  <c r="G378" i="4" s="1"/>
  <c r="U363" i="4" l="1"/>
  <c r="C379" i="4" s="1"/>
  <c r="U362" i="4"/>
  <c r="U361" i="4"/>
  <c r="C377" i="4" s="1"/>
  <c r="U360" i="4"/>
  <c r="V360" i="4" l="1"/>
  <c r="W360" i="4" s="1"/>
  <c r="X360" i="4" s="1"/>
  <c r="C376" i="4"/>
  <c r="V361" i="4"/>
  <c r="W361" i="4" s="1"/>
  <c r="X361" i="4" s="1"/>
  <c r="C378" i="4"/>
  <c r="Z361" i="4" l="1"/>
  <c r="AA361" i="4" s="1"/>
  <c r="AB361" i="4" s="1"/>
  <c r="Z360" i="4"/>
  <c r="AA360" i="4" s="1"/>
  <c r="AB360" i="4" s="1"/>
  <c r="AD360" i="4" s="1"/>
  <c r="AE360" i="4" s="1"/>
  <c r="D377" i="4"/>
  <c r="E377" i="4" s="1"/>
  <c r="D376" i="4"/>
  <c r="E376" i="4" s="1"/>
  <c r="F377" i="4" l="1"/>
  <c r="F376" i="4"/>
  <c r="H376" i="4" l="1"/>
  <c r="I376" i="4" s="1"/>
  <c r="H377" i="4"/>
  <c r="I377" i="4" s="1"/>
  <c r="J377" i="4" s="1"/>
  <c r="K392" i="4" l="1"/>
  <c r="AC377" i="4" s="1"/>
  <c r="J376" i="4"/>
  <c r="L376" i="4" l="1"/>
  <c r="M376" i="4" s="1"/>
  <c r="J385" i="4" s="1"/>
  <c r="F386" i="4" l="1"/>
  <c r="F385" i="4"/>
  <c r="K391" i="4"/>
  <c r="AC376" i="4" s="1"/>
  <c r="B386" i="4" l="1"/>
  <c r="B385" i="4"/>
  <c r="G391" i="4"/>
  <c r="Y376" i="4" s="1"/>
  <c r="G392" i="4"/>
  <c r="Y377" i="4" s="1"/>
  <c r="G393" i="4"/>
  <c r="Y378" i="4" s="1"/>
  <c r="G394" i="4"/>
  <c r="Y379" i="4" s="1"/>
  <c r="C394" i="4" l="1"/>
  <c r="U379" i="4" s="1"/>
  <c r="C393" i="4"/>
  <c r="C392" i="4"/>
  <c r="U377" i="4" s="1"/>
  <c r="C391" i="4"/>
  <c r="D392" i="4" l="1"/>
  <c r="E392" i="4" s="1"/>
  <c r="F392" i="4" s="1"/>
  <c r="U378" i="4"/>
  <c r="U376" i="4"/>
  <c r="D391" i="4"/>
  <c r="E391" i="4" s="1"/>
  <c r="F391" i="4" s="1"/>
  <c r="H392" i="4" l="1"/>
  <c r="I392" i="4" s="1"/>
  <c r="J392" i="4" s="1"/>
  <c r="H391" i="4"/>
  <c r="I391" i="4" s="1"/>
  <c r="J391" i="4" s="1"/>
  <c r="L391" i="4" s="1"/>
  <c r="M391" i="4" s="1"/>
  <c r="V376" i="4"/>
  <c r="W376" i="4" s="1"/>
  <c r="V377" i="4"/>
  <c r="W377" i="4" s="1"/>
  <c r="X376" i="4" l="1"/>
  <c r="X377" i="4"/>
  <c r="Z377" i="4" l="1"/>
  <c r="AA377" i="4" s="1"/>
  <c r="AB377" i="4" s="1"/>
  <c r="Z376" i="4"/>
  <c r="AA376" i="4" s="1"/>
  <c r="AB376" i="4" l="1"/>
  <c r="AC392" i="4"/>
  <c r="K408" i="4" s="1"/>
  <c r="AD376" i="4" l="1"/>
  <c r="AE376" i="4" s="1"/>
  <c r="AB385" i="4" s="1"/>
  <c r="AC391" i="4" s="1"/>
  <c r="K407" i="4" s="1"/>
  <c r="X385" i="4" l="1"/>
  <c r="X386" i="4"/>
  <c r="Y394" i="4" l="1"/>
  <c r="G410" i="4" s="1"/>
  <c r="Y393" i="4"/>
  <c r="G409" i="4" s="1"/>
  <c r="T385" i="4"/>
  <c r="T386" i="4"/>
  <c r="Y392" i="4"/>
  <c r="G408" i="4" s="1"/>
  <c r="Y391" i="4"/>
  <c r="G407" i="4" s="1"/>
  <c r="U394" i="4" l="1"/>
  <c r="C410" i="4" s="1"/>
  <c r="U393" i="4"/>
  <c r="U392" i="4"/>
  <c r="C408" i="4" s="1"/>
  <c r="U391" i="4"/>
  <c r="V391" i="4" l="1"/>
  <c r="W391" i="4" s="1"/>
  <c r="X391" i="4" s="1"/>
  <c r="C407" i="4"/>
  <c r="C409" i="4"/>
  <c r="V392" i="4"/>
  <c r="W392" i="4" s="1"/>
  <c r="X392" i="4" s="1"/>
  <c r="D408" i="4" l="1"/>
  <c r="E408" i="4" s="1"/>
  <c r="D407" i="4"/>
  <c r="E407" i="4" s="1"/>
  <c r="Z391" i="4"/>
  <c r="AA391" i="4" s="1"/>
  <c r="AB391" i="4" s="1"/>
  <c r="Z392" i="4"/>
  <c r="AA392" i="4" s="1"/>
  <c r="AB392" i="4" s="1"/>
  <c r="AD391" i="4" l="1"/>
  <c r="AE391" i="4" s="1"/>
  <c r="F407" i="4"/>
  <c r="F408" i="4"/>
  <c r="H408" i="4" l="1"/>
  <c r="I408" i="4" s="1"/>
  <c r="J408" i="4" s="1"/>
  <c r="H407" i="4"/>
  <c r="I407" i="4" s="1"/>
  <c r="J407" i="4" l="1"/>
  <c r="K423" i="4"/>
  <c r="AC408" i="4" s="1"/>
  <c r="L407" i="4" l="1"/>
  <c r="M407" i="4" s="1"/>
  <c r="J416" i="4" s="1"/>
  <c r="K422" i="4" s="1"/>
  <c r="AC407" i="4" s="1"/>
  <c r="F416" i="4" l="1"/>
  <c r="F417" i="4"/>
  <c r="B416" i="4" l="1"/>
  <c r="B417" i="4"/>
  <c r="G423" i="4"/>
  <c r="Y408" i="4" s="1"/>
  <c r="G422" i="4"/>
  <c r="Y407" i="4" s="1"/>
  <c r="G425" i="4"/>
  <c r="Y410" i="4" s="1"/>
  <c r="G424" i="4"/>
  <c r="Y409" i="4" s="1"/>
  <c r="C425" i="4" l="1"/>
  <c r="U410" i="4" s="1"/>
  <c r="C424" i="4"/>
  <c r="C423" i="4"/>
  <c r="U408" i="4" s="1"/>
  <c r="C422" i="4"/>
  <c r="D422" i="4" l="1"/>
  <c r="E422" i="4" s="1"/>
  <c r="F422" i="4" s="1"/>
  <c r="U407" i="4"/>
  <c r="U409" i="4"/>
  <c r="D423" i="4"/>
  <c r="E423" i="4" s="1"/>
  <c r="F423" i="4" s="1"/>
  <c r="V408" i="4" l="1"/>
  <c r="W408" i="4" s="1"/>
  <c r="V407" i="4"/>
  <c r="W407" i="4" s="1"/>
  <c r="H422" i="4"/>
  <c r="I422" i="4" s="1"/>
  <c r="J422" i="4" s="1"/>
  <c r="H423" i="4"/>
  <c r="I423" i="4" s="1"/>
  <c r="J423" i="4" s="1"/>
  <c r="L422" i="4" l="1"/>
  <c r="M422" i="4" s="1"/>
  <c r="X407" i="4"/>
  <c r="X408" i="4"/>
  <c r="Z407" i="4" l="1"/>
  <c r="AA407" i="4" s="1"/>
  <c r="Z408" i="4"/>
  <c r="AA408" i="4" s="1"/>
  <c r="AB408" i="4" s="1"/>
  <c r="AC423" i="4" l="1"/>
  <c r="K439" i="4" s="1"/>
  <c r="AB407" i="4"/>
  <c r="AD407" i="4" l="1"/>
  <c r="AE407" i="4" s="1"/>
  <c r="AB416" i="4" s="1"/>
  <c r="AC422" i="4" s="1"/>
  <c r="K438" i="4" s="1"/>
  <c r="X417" i="4" l="1"/>
  <c r="X416" i="4"/>
  <c r="Y425" i="4" l="1"/>
  <c r="G441" i="4" s="1"/>
  <c r="Y424" i="4"/>
  <c r="G440" i="4" s="1"/>
  <c r="T416" i="4"/>
  <c r="T417" i="4"/>
  <c r="Y423" i="4"/>
  <c r="G439" i="4" s="1"/>
  <c r="Y422" i="4"/>
  <c r="G438" i="4" s="1"/>
  <c r="U423" i="4" l="1"/>
  <c r="C439" i="4" s="1"/>
  <c r="U422" i="4"/>
  <c r="U425" i="4"/>
  <c r="C441" i="4" s="1"/>
  <c r="U424" i="4"/>
  <c r="C440" i="4" l="1"/>
  <c r="V423" i="4"/>
  <c r="W423" i="4" s="1"/>
  <c r="X423" i="4" s="1"/>
  <c r="C438" i="4"/>
  <c r="V422" i="4"/>
  <c r="W422" i="4" s="1"/>
  <c r="X422" i="4" s="1"/>
  <c r="Z423" i="4" l="1"/>
  <c r="AA423" i="4" s="1"/>
  <c r="AB423" i="4" s="1"/>
  <c r="Z422" i="4"/>
  <c r="AA422" i="4" s="1"/>
  <c r="AB422" i="4" s="1"/>
  <c r="AD422" i="4" s="1"/>
  <c r="AE422" i="4" s="1"/>
  <c r="D438" i="4"/>
  <c r="E438" i="4" s="1"/>
  <c r="D439" i="4"/>
  <c r="E439" i="4" s="1"/>
  <c r="F439" i="4" l="1"/>
  <c r="F438" i="4"/>
  <c r="H439" i="4" l="1"/>
  <c r="I439" i="4" s="1"/>
  <c r="J439" i="4" s="1"/>
  <c r="H438" i="4"/>
  <c r="I438" i="4" s="1"/>
  <c r="J438" i="4" l="1"/>
  <c r="K454" i="4"/>
  <c r="AC439" i="4" s="1"/>
  <c r="L438" i="4" l="1"/>
  <c r="M438" i="4" s="1"/>
  <c r="J447" i="4" s="1"/>
  <c r="K453" i="4" s="1"/>
  <c r="AC438" i="4" s="1"/>
  <c r="F447" i="4" l="1"/>
  <c r="F448" i="4"/>
  <c r="G455" i="4" l="1"/>
  <c r="Y440" i="4" s="1"/>
  <c r="G456" i="4"/>
  <c r="Y441" i="4" s="1"/>
  <c r="B448" i="4"/>
  <c r="B447" i="4"/>
  <c r="G454" i="4"/>
  <c r="Y439" i="4" s="1"/>
  <c r="G453" i="4"/>
  <c r="Y438" i="4" s="1"/>
  <c r="C456" i="4" l="1"/>
  <c r="U441" i="4" s="1"/>
  <c r="C455" i="4"/>
  <c r="C454" i="4"/>
  <c r="U439" i="4" s="1"/>
  <c r="C453" i="4"/>
  <c r="U438" i="4" l="1"/>
  <c r="D453" i="4"/>
  <c r="E453" i="4" s="1"/>
  <c r="F453" i="4" s="1"/>
  <c r="D454" i="4"/>
  <c r="E454" i="4" s="1"/>
  <c r="F454" i="4" s="1"/>
  <c r="U440" i="4"/>
  <c r="V439" i="4" l="1"/>
  <c r="W439" i="4" s="1"/>
  <c r="H454" i="4"/>
  <c r="I454" i="4" s="1"/>
  <c r="J454" i="4" s="1"/>
  <c r="H453" i="4"/>
  <c r="I453" i="4" s="1"/>
  <c r="J453" i="4" s="1"/>
  <c r="V438" i="4"/>
  <c r="W438" i="4" s="1"/>
  <c r="X438" i="4" l="1"/>
  <c r="L453" i="4"/>
  <c r="M453" i="4" s="1"/>
  <c r="X439" i="4"/>
  <c r="Z439" i="4" l="1"/>
  <c r="AA439" i="4" s="1"/>
  <c r="AB439" i="4" s="1"/>
  <c r="Z438" i="4"/>
  <c r="AA438" i="4" s="1"/>
  <c r="AB438" i="4" l="1"/>
  <c r="AC454" i="4"/>
  <c r="K470" i="4" s="1"/>
  <c r="AD438" i="4" l="1"/>
  <c r="AE438" i="4" s="1"/>
  <c r="AB447" i="4" s="1"/>
  <c r="X448" i="4" l="1"/>
  <c r="X447" i="4"/>
  <c r="AC453" i="4"/>
  <c r="K469" i="4" s="1"/>
  <c r="T447" i="4" l="1"/>
  <c r="T448" i="4"/>
  <c r="Y454" i="4"/>
  <c r="G470" i="4" s="1"/>
  <c r="Y453" i="4"/>
  <c r="G469" i="4" s="1"/>
  <c r="Y456" i="4"/>
  <c r="G472" i="4" s="1"/>
  <c r="Y455" i="4"/>
  <c r="G471" i="4" s="1"/>
  <c r="U456" i="4" l="1"/>
  <c r="C472" i="4" s="1"/>
  <c r="U455" i="4"/>
  <c r="U454" i="4"/>
  <c r="C470" i="4" s="1"/>
  <c r="U453" i="4"/>
  <c r="V453" i="4" l="1"/>
  <c r="W453" i="4" s="1"/>
  <c r="X453" i="4" s="1"/>
  <c r="C469" i="4"/>
  <c r="C471" i="4"/>
  <c r="V454" i="4"/>
  <c r="W454" i="4" s="1"/>
  <c r="X454" i="4" s="1"/>
  <c r="D470" i="4" l="1"/>
  <c r="E470" i="4" s="1"/>
  <c r="D469" i="4"/>
  <c r="E469" i="4" s="1"/>
  <c r="Z453" i="4"/>
  <c r="AA453" i="4" s="1"/>
  <c r="AB453" i="4" s="1"/>
  <c r="Z454" i="4"/>
  <c r="AA454" i="4" s="1"/>
  <c r="AB454" i="4" s="1"/>
  <c r="AD453" i="4" l="1"/>
  <c r="AE453" i="4" s="1"/>
  <c r="F469" i="4"/>
  <c r="F470" i="4"/>
  <c r="H469" i="4" l="1"/>
  <c r="I469" i="4" s="1"/>
  <c r="H470" i="4"/>
  <c r="I470" i="4" s="1"/>
  <c r="J470" i="4" s="1"/>
  <c r="K485" i="4" l="1"/>
  <c r="AC470" i="4" s="1"/>
  <c r="J469" i="4"/>
  <c r="L469" i="4" l="1"/>
  <c r="M469" i="4" s="1"/>
  <c r="J478" i="4" s="1"/>
  <c r="K484" i="4" s="1"/>
  <c r="AC469" i="4" s="1"/>
  <c r="F479" i="4" l="1"/>
  <c r="F478" i="4"/>
  <c r="B479" i="4" l="1"/>
  <c r="B478" i="4"/>
  <c r="G485" i="4"/>
  <c r="Y470" i="4" s="1"/>
  <c r="G484" i="4"/>
  <c r="Y469" i="4" s="1"/>
  <c r="G487" i="4"/>
  <c r="Y472" i="4" s="1"/>
  <c r="G486" i="4"/>
  <c r="Y471" i="4" s="1"/>
  <c r="C487" i="4" l="1"/>
  <c r="U472" i="4" s="1"/>
  <c r="C486" i="4"/>
  <c r="C485" i="4"/>
  <c r="U470" i="4" s="1"/>
  <c r="C484" i="4"/>
  <c r="D485" i="4" l="1"/>
  <c r="E485" i="4" s="1"/>
  <c r="F485" i="4" s="1"/>
  <c r="U471" i="4"/>
  <c r="D484" i="4"/>
  <c r="E484" i="4" s="1"/>
  <c r="F484" i="4" s="1"/>
  <c r="U469" i="4"/>
  <c r="V469" i="4" l="1"/>
  <c r="W469" i="4" s="1"/>
  <c r="H485" i="4"/>
  <c r="I485" i="4" s="1"/>
  <c r="J485" i="4" s="1"/>
  <c r="H484" i="4"/>
  <c r="I484" i="4" s="1"/>
  <c r="J484" i="4" s="1"/>
  <c r="L484" i="4" s="1"/>
  <c r="M484" i="4" s="1"/>
  <c r="V470" i="4"/>
  <c r="W470" i="4" s="1"/>
  <c r="X470" i="4" l="1"/>
  <c r="X469" i="4"/>
  <c r="Z469" i="4" l="1"/>
  <c r="AA469" i="4" s="1"/>
  <c r="Z470" i="4"/>
  <c r="AA470" i="4" s="1"/>
  <c r="AB470" i="4" s="1"/>
  <c r="AB469" i="4" l="1"/>
  <c r="AC485" i="4"/>
  <c r="K501" i="4" s="1"/>
  <c r="AD469" i="4" l="1"/>
  <c r="AE469" i="4" s="1"/>
  <c r="AB478" i="4" s="1"/>
  <c r="X478" i="4" l="1"/>
  <c r="X479" i="4"/>
  <c r="AC484" i="4"/>
  <c r="K500" i="4" s="1"/>
  <c r="T479" i="4" l="1"/>
  <c r="T478" i="4"/>
  <c r="Y484" i="4"/>
  <c r="G500" i="4" s="1"/>
  <c r="Y485" i="4"/>
  <c r="G501" i="4" s="1"/>
  <c r="Y486" i="4"/>
  <c r="G502" i="4" s="1"/>
  <c r="Y487" i="4"/>
  <c r="G503" i="4" s="1"/>
  <c r="U485" i="4" l="1"/>
  <c r="C501" i="4" s="1"/>
  <c r="U484" i="4"/>
  <c r="U487" i="4"/>
  <c r="C503" i="4" s="1"/>
  <c r="U486" i="4"/>
  <c r="C502" i="4" l="1"/>
  <c r="V485" i="4"/>
  <c r="W485" i="4" s="1"/>
  <c r="X485" i="4" s="1"/>
  <c r="C500" i="4"/>
  <c r="V484" i="4"/>
  <c r="W484" i="4" s="1"/>
  <c r="X484" i="4" s="1"/>
  <c r="Z485" i="4" l="1"/>
  <c r="AA485" i="4" s="1"/>
  <c r="AB485" i="4" s="1"/>
  <c r="Z484" i="4"/>
  <c r="AA484" i="4" s="1"/>
  <c r="AB484" i="4" s="1"/>
  <c r="D500" i="4"/>
  <c r="E500" i="4" s="1"/>
  <c r="D501" i="4"/>
  <c r="E501" i="4" s="1"/>
  <c r="F501" i="4" l="1"/>
  <c r="F500" i="4"/>
  <c r="AD484" i="4"/>
  <c r="AE484" i="4" s="1"/>
  <c r="H501" i="4" l="1"/>
  <c r="I501" i="4" s="1"/>
  <c r="J501" i="4" s="1"/>
  <c r="H500" i="4"/>
  <c r="I500" i="4" s="1"/>
  <c r="K516" i="4" l="1"/>
  <c r="AC501" i="4" s="1"/>
  <c r="J500" i="4"/>
  <c r="L500" i="4" l="1"/>
  <c r="M500" i="4" s="1"/>
  <c r="J509" i="4" s="1"/>
  <c r="F509" i="4" l="1"/>
  <c r="F510" i="4"/>
  <c r="K515" i="4"/>
  <c r="AC500" i="4" s="1"/>
  <c r="B510" i="4" l="1"/>
  <c r="B509" i="4"/>
  <c r="G515" i="4"/>
  <c r="Y500" i="4" s="1"/>
  <c r="G516" i="4"/>
  <c r="Y501" i="4" s="1"/>
  <c r="G517" i="4"/>
  <c r="Y502" i="4" s="1"/>
  <c r="G518" i="4"/>
  <c r="Y503" i="4" s="1"/>
  <c r="C516" i="4" l="1"/>
  <c r="U501" i="4" s="1"/>
  <c r="C515" i="4"/>
  <c r="C518" i="4"/>
  <c r="U503" i="4" s="1"/>
  <c r="C517" i="4"/>
  <c r="D516" i="4" l="1"/>
  <c r="E516" i="4" s="1"/>
  <c r="F516" i="4" s="1"/>
  <c r="U502" i="4"/>
  <c r="D515" i="4"/>
  <c r="E515" i="4" s="1"/>
  <c r="F515" i="4" s="1"/>
  <c r="U500" i="4"/>
  <c r="V500" i="4" l="1"/>
  <c r="W500" i="4" s="1"/>
  <c r="H515" i="4"/>
  <c r="I515" i="4" s="1"/>
  <c r="J515" i="4" s="1"/>
  <c r="H516" i="4"/>
  <c r="I516" i="4" s="1"/>
  <c r="J516" i="4" s="1"/>
  <c r="V501" i="4"/>
  <c r="W501" i="4" s="1"/>
  <c r="X501" i="4" l="1"/>
  <c r="L515" i="4"/>
  <c r="M515" i="4" s="1"/>
  <c r="X500" i="4"/>
  <c r="Z500" i="4" l="1"/>
  <c r="AA500" i="4" s="1"/>
  <c r="Z501" i="4"/>
  <c r="AA501" i="4" s="1"/>
  <c r="AB501" i="4" s="1"/>
  <c r="AC516" i="4" l="1"/>
  <c r="K532" i="4" s="1"/>
  <c r="AB500" i="4"/>
  <c r="AD500" i="4" l="1"/>
  <c r="AE500" i="4" s="1"/>
  <c r="AB509" i="4" s="1"/>
  <c r="AC515" i="4" s="1"/>
  <c r="K531" i="4" s="1"/>
  <c r="X510" i="4" l="1"/>
  <c r="X509" i="4"/>
  <c r="T510" i="4" l="1"/>
  <c r="T509" i="4"/>
  <c r="Y515" i="4"/>
  <c r="G531" i="4" s="1"/>
  <c r="Y516" i="4"/>
  <c r="G532" i="4" s="1"/>
  <c r="Y518" i="4"/>
  <c r="G534" i="4" s="1"/>
  <c r="Y517" i="4"/>
  <c r="G533" i="4" s="1"/>
  <c r="U516" i="4" l="1"/>
  <c r="C532" i="4" s="1"/>
  <c r="U515" i="4"/>
  <c r="U518" i="4"/>
  <c r="C534" i="4" s="1"/>
  <c r="U517" i="4"/>
  <c r="C533" i="4" l="1"/>
  <c r="V516" i="4"/>
  <c r="W516" i="4" s="1"/>
  <c r="X516" i="4" s="1"/>
  <c r="V515" i="4"/>
  <c r="W515" i="4" s="1"/>
  <c r="X515" i="4" s="1"/>
  <c r="C531" i="4"/>
  <c r="D531" i="4" l="1"/>
  <c r="E531" i="4" s="1"/>
  <c r="Z516" i="4"/>
  <c r="AA516" i="4" s="1"/>
  <c r="AB516" i="4" s="1"/>
  <c r="Z515" i="4"/>
  <c r="AA515" i="4" s="1"/>
  <c r="AB515" i="4" s="1"/>
  <c r="D532" i="4"/>
  <c r="E532" i="4" s="1"/>
  <c r="AD515" i="4" l="1"/>
  <c r="AE515" i="4" s="1"/>
  <c r="F532" i="4"/>
  <c r="F531" i="4"/>
  <c r="H531" i="4" l="1"/>
  <c r="I531" i="4" s="1"/>
  <c r="H532" i="4"/>
  <c r="I532" i="4" s="1"/>
  <c r="J532" i="4" s="1"/>
  <c r="K547" i="4" l="1"/>
  <c r="AC532" i="4" s="1"/>
  <c r="J531" i="4"/>
  <c r="L531" i="4" l="1"/>
  <c r="M531" i="4" s="1"/>
  <c r="J540" i="4" s="1"/>
  <c r="K546" i="4" s="1"/>
  <c r="AC531" i="4" s="1"/>
  <c r="F541" i="4" l="1"/>
  <c r="F540" i="4"/>
  <c r="B541" i="4" l="1"/>
  <c r="B540" i="4"/>
  <c r="G546" i="4"/>
  <c r="Y531" i="4" s="1"/>
  <c r="G547" i="4"/>
  <c r="Y532" i="4" s="1"/>
  <c r="G549" i="4"/>
  <c r="Y534" i="4" s="1"/>
  <c r="G548" i="4"/>
  <c r="Y533" i="4" s="1"/>
  <c r="C547" i="4" l="1"/>
  <c r="U532" i="4" s="1"/>
  <c r="C546" i="4"/>
  <c r="C549" i="4"/>
  <c r="U534" i="4" s="1"/>
  <c r="C548" i="4"/>
  <c r="U533" i="4" l="1"/>
  <c r="D547" i="4"/>
  <c r="E547" i="4" s="1"/>
  <c r="F547" i="4" s="1"/>
  <c r="D546" i="4"/>
  <c r="E546" i="4" s="1"/>
  <c r="F546" i="4" s="1"/>
  <c r="U531" i="4"/>
  <c r="H546" i="4" l="1"/>
  <c r="I546" i="4" s="1"/>
  <c r="J546" i="4" s="1"/>
  <c r="H547" i="4"/>
  <c r="I547" i="4" s="1"/>
  <c r="J547" i="4" s="1"/>
  <c r="V531" i="4"/>
  <c r="W531" i="4" s="1"/>
  <c r="V532" i="4"/>
  <c r="W532" i="4" s="1"/>
  <c r="L546" i="4" l="1"/>
  <c r="M546" i="4" s="1"/>
  <c r="X531" i="4"/>
  <c r="X532" i="4"/>
  <c r="Z532" i="4" l="1"/>
  <c r="AA532" i="4" s="1"/>
  <c r="AB532" i="4" s="1"/>
  <c r="Z531" i="4"/>
  <c r="AA531" i="4" s="1"/>
  <c r="AB531" i="4" l="1"/>
  <c r="AC547" i="4"/>
  <c r="K563" i="4" s="1"/>
  <c r="AD531" i="4" l="1"/>
  <c r="AE531" i="4" s="1"/>
  <c r="AB540" i="4" s="1"/>
  <c r="AC546" i="4" s="1"/>
  <c r="K562" i="4" s="1"/>
  <c r="X540" i="4" l="1"/>
  <c r="X541" i="4"/>
  <c r="Y549" i="4" l="1"/>
  <c r="G565" i="4" s="1"/>
  <c r="Y548" i="4"/>
  <c r="G564" i="4" s="1"/>
  <c r="T541" i="4"/>
  <c r="T540" i="4"/>
  <c r="Y547" i="4"/>
  <c r="G563" i="4" s="1"/>
  <c r="Y546" i="4"/>
  <c r="G562" i="4" s="1"/>
  <c r="U547" i="4" l="1"/>
  <c r="C563" i="4" s="1"/>
  <c r="U546" i="4"/>
  <c r="U549" i="4"/>
  <c r="C565" i="4" s="1"/>
  <c r="U548" i="4"/>
  <c r="C562" i="4" l="1"/>
  <c r="V546" i="4"/>
  <c r="W546" i="4" s="1"/>
  <c r="X546" i="4" s="1"/>
  <c r="C564" i="4"/>
  <c r="V547" i="4"/>
  <c r="W547" i="4" s="1"/>
  <c r="X547" i="4" s="1"/>
  <c r="Z546" i="4" l="1"/>
  <c r="AA546" i="4" s="1"/>
  <c r="AB546" i="4" s="1"/>
  <c r="Z547" i="4"/>
  <c r="AA547" i="4" s="1"/>
  <c r="AB547" i="4" s="1"/>
  <c r="D562" i="4"/>
  <c r="E562" i="4" s="1"/>
  <c r="D563" i="4"/>
  <c r="E563" i="4" s="1"/>
  <c r="F562" i="4" l="1"/>
  <c r="F563" i="4"/>
  <c r="AD546" i="4"/>
  <c r="AE546" i="4" s="1"/>
  <c r="H562" i="4" l="1"/>
  <c r="I562" i="4" s="1"/>
  <c r="H563" i="4"/>
  <c r="I563" i="4" s="1"/>
  <c r="J563" i="4" s="1"/>
  <c r="J562" i="4" l="1"/>
  <c r="K578" i="4"/>
  <c r="AC563" i="4" s="1"/>
  <c r="L562" i="4" l="1"/>
  <c r="M562" i="4" s="1"/>
  <c r="J571" i="4" s="1"/>
  <c r="K577" i="4" s="1"/>
  <c r="AC562" i="4" s="1"/>
  <c r="F571" i="4" l="1"/>
  <c r="F572" i="4"/>
  <c r="G580" i="4" l="1"/>
  <c r="Y565" i="4" s="1"/>
  <c r="G579" i="4"/>
  <c r="Y564" i="4" s="1"/>
  <c r="B572" i="4"/>
  <c r="B571" i="4"/>
  <c r="G578" i="4"/>
  <c r="Y563" i="4" s="1"/>
  <c r="G577" i="4"/>
  <c r="Y562" i="4" s="1"/>
  <c r="C578" i="4" l="1"/>
  <c r="U563" i="4" s="1"/>
  <c r="C577" i="4"/>
  <c r="C580" i="4"/>
  <c r="U565" i="4" s="1"/>
  <c r="C579" i="4"/>
  <c r="U564" i="4" l="1"/>
  <c r="D578" i="4"/>
  <c r="E578" i="4" s="1"/>
  <c r="F578" i="4" s="1"/>
  <c r="D577" i="4"/>
  <c r="E577" i="4" s="1"/>
  <c r="F577" i="4" s="1"/>
  <c r="U562" i="4"/>
  <c r="H578" i="4" l="1"/>
  <c r="I578" i="4" s="1"/>
  <c r="J578" i="4" s="1"/>
  <c r="H577" i="4"/>
  <c r="I577" i="4" s="1"/>
  <c r="J577" i="4" s="1"/>
  <c r="V563" i="4"/>
  <c r="W563" i="4" s="1"/>
  <c r="V562" i="4"/>
  <c r="W562" i="4" s="1"/>
  <c r="X562" i="4" l="1"/>
  <c r="X563" i="4"/>
  <c r="L577" i="4"/>
  <c r="M577" i="4" s="1"/>
  <c r="Z563" i="4" l="1"/>
  <c r="AA563" i="4" s="1"/>
  <c r="AB563" i="4" s="1"/>
  <c r="Z562" i="4"/>
  <c r="AA562" i="4" s="1"/>
  <c r="AB562" i="4" l="1"/>
  <c r="AC578" i="4"/>
  <c r="K594" i="4" s="1"/>
  <c r="AD562" i="4" l="1"/>
  <c r="AE562" i="4" s="1"/>
  <c r="AB571" i="4" s="1"/>
  <c r="AC577" i="4" s="1"/>
  <c r="K593" i="4" s="1"/>
  <c r="X571" i="4" l="1"/>
  <c r="X572" i="4"/>
  <c r="Y580" i="4" l="1"/>
  <c r="G596" i="4" s="1"/>
  <c r="Y579" i="4"/>
  <c r="G595" i="4" s="1"/>
  <c r="T571" i="4"/>
  <c r="T572" i="4"/>
  <c r="Y578" i="4"/>
  <c r="G594" i="4" s="1"/>
  <c r="Y577" i="4"/>
  <c r="G593" i="4" s="1"/>
  <c r="U580" i="4" l="1"/>
  <c r="C596" i="4" s="1"/>
  <c r="U579" i="4"/>
  <c r="U578" i="4"/>
  <c r="C594" i="4" s="1"/>
  <c r="U577" i="4"/>
  <c r="C593" i="4" l="1"/>
  <c r="V577" i="4"/>
  <c r="W577" i="4" s="1"/>
  <c r="X577" i="4" s="1"/>
  <c r="V578" i="4"/>
  <c r="W578" i="4" s="1"/>
  <c r="X578" i="4" s="1"/>
  <c r="C595" i="4"/>
  <c r="D594" i="4" l="1"/>
  <c r="E594" i="4" s="1"/>
  <c r="Z578" i="4"/>
  <c r="AA578" i="4" s="1"/>
  <c r="AB578" i="4" s="1"/>
  <c r="Z577" i="4"/>
  <c r="AA577" i="4" s="1"/>
  <c r="AB577" i="4" s="1"/>
  <c r="D593" i="4"/>
  <c r="E593" i="4" s="1"/>
  <c r="F593" i="4" l="1"/>
  <c r="F594" i="4"/>
  <c r="AD577" i="4"/>
  <c r="AE577" i="4" s="1"/>
  <c r="H594" i="4" l="1"/>
  <c r="I594" i="4" s="1"/>
  <c r="J594" i="4" s="1"/>
  <c r="H593" i="4"/>
  <c r="I593" i="4" s="1"/>
  <c r="J593" i="4" l="1"/>
  <c r="K609" i="4"/>
  <c r="AC594" i="4" s="1"/>
  <c r="L593" i="4" l="1"/>
  <c r="M593" i="4" s="1"/>
  <c r="J602" i="4" s="1"/>
  <c r="K608" i="4" s="1"/>
  <c r="AC593" i="4" s="1"/>
  <c r="F603" i="4" l="1"/>
  <c r="F602" i="4"/>
  <c r="B602" i="4" l="1"/>
  <c r="B603" i="4"/>
  <c r="G609" i="4"/>
  <c r="Y594" i="4" s="1"/>
  <c r="G608" i="4"/>
  <c r="Y593" i="4" s="1"/>
  <c r="G611" i="4"/>
  <c r="Y596" i="4" s="1"/>
  <c r="G610" i="4"/>
  <c r="Y595" i="4" s="1"/>
  <c r="C611" i="4" l="1"/>
  <c r="U596" i="4" s="1"/>
  <c r="C610" i="4"/>
  <c r="C609" i="4"/>
  <c r="U594" i="4" s="1"/>
  <c r="C608" i="4"/>
  <c r="U595" i="4" l="1"/>
  <c r="D609" i="4"/>
  <c r="E609" i="4" s="1"/>
  <c r="F609" i="4" s="1"/>
  <c r="U593" i="4"/>
  <c r="D608" i="4"/>
  <c r="E608" i="4" s="1"/>
  <c r="F608" i="4" s="1"/>
  <c r="V593" i="4" l="1"/>
  <c r="W593" i="4" s="1"/>
  <c r="H608" i="4"/>
  <c r="I608" i="4" s="1"/>
  <c r="J608" i="4" s="1"/>
  <c r="H609" i="4"/>
  <c r="I609" i="4" s="1"/>
  <c r="J609" i="4" s="1"/>
  <c r="V594" i="4"/>
  <c r="W594" i="4" s="1"/>
  <c r="L608" i="4" l="1"/>
  <c r="M608" i="4" s="1"/>
  <c r="X594" i="4"/>
  <c r="X593" i="4"/>
  <c r="Z593" i="4" l="1"/>
  <c r="AA593" i="4" s="1"/>
  <c r="Z594" i="4"/>
  <c r="AA594" i="4" s="1"/>
  <c r="AB594" i="4" s="1"/>
  <c r="AC609" i="4" l="1"/>
  <c r="K625" i="4" s="1"/>
  <c r="AB593" i="4"/>
  <c r="AD593" i="4" l="1"/>
  <c r="AE593" i="4" s="1"/>
  <c r="AB602" i="4" s="1"/>
  <c r="AC608" i="4" s="1"/>
  <c r="K624" i="4" s="1"/>
  <c r="X603" i="4" l="1"/>
  <c r="X602" i="4"/>
  <c r="Y611" i="4" l="1"/>
  <c r="G627" i="4" s="1"/>
  <c r="Y610" i="4"/>
  <c r="G626" i="4" s="1"/>
  <c r="T603" i="4"/>
  <c r="T602" i="4"/>
  <c r="Y608" i="4"/>
  <c r="G624" i="4" s="1"/>
  <c r="Y609" i="4"/>
  <c r="G625" i="4" s="1"/>
  <c r="U609" i="4" l="1"/>
  <c r="C625" i="4" s="1"/>
  <c r="U608" i="4"/>
  <c r="U611" i="4"/>
  <c r="C627" i="4" s="1"/>
  <c r="U610" i="4"/>
  <c r="V609" i="4" l="1"/>
  <c r="W609" i="4" s="1"/>
  <c r="X609" i="4" s="1"/>
  <c r="C626" i="4"/>
  <c r="V608" i="4"/>
  <c r="W608" i="4" s="1"/>
  <c r="X608" i="4" s="1"/>
  <c r="C624" i="4"/>
  <c r="Z609" i="4" l="1"/>
  <c r="AA609" i="4" s="1"/>
  <c r="AB609" i="4" s="1"/>
  <c r="Z608" i="4"/>
  <c r="AA608" i="4" s="1"/>
  <c r="AB608" i="4" s="1"/>
  <c r="D625" i="4"/>
  <c r="E625" i="4" s="1"/>
  <c r="D624" i="4"/>
  <c r="E624" i="4" s="1"/>
  <c r="AD608" i="4" l="1"/>
  <c r="AE608" i="4" s="1"/>
  <c r="F624" i="4"/>
  <c r="F625" i="4"/>
  <c r="H624" i="4" l="1"/>
  <c r="I624" i="4" s="1"/>
  <c r="H625" i="4"/>
  <c r="I625" i="4" s="1"/>
  <c r="J625" i="4" s="1"/>
  <c r="K640" i="4" l="1"/>
  <c r="AC625" i="4" s="1"/>
  <c r="J624" i="4"/>
  <c r="L624" i="4" l="1"/>
  <c r="M624" i="4" s="1"/>
  <c r="J633" i="4" s="1"/>
  <c r="K639" i="4" s="1"/>
  <c r="AC624" i="4" s="1"/>
  <c r="F634" i="4" l="1"/>
  <c r="F633" i="4"/>
  <c r="G642" i="4" l="1"/>
  <c r="Y627" i="4" s="1"/>
  <c r="G641" i="4"/>
  <c r="Y626" i="4" s="1"/>
  <c r="B633" i="4"/>
  <c r="B634" i="4"/>
  <c r="G640" i="4"/>
  <c r="Y625" i="4" s="1"/>
  <c r="G639" i="4"/>
  <c r="Y624" i="4" s="1"/>
  <c r="C640" i="4" l="1"/>
  <c r="U625" i="4" s="1"/>
  <c r="C639" i="4"/>
  <c r="C642" i="4"/>
  <c r="U627" i="4" s="1"/>
  <c r="C641" i="4"/>
  <c r="U626" i="4" l="1"/>
  <c r="D640" i="4"/>
  <c r="E640" i="4" s="1"/>
  <c r="F640" i="4" s="1"/>
  <c r="U624" i="4"/>
  <c r="D639" i="4"/>
  <c r="E639" i="4" s="1"/>
  <c r="F639" i="4" s="1"/>
  <c r="H640" i="4" l="1"/>
  <c r="I640" i="4" s="1"/>
  <c r="J640" i="4" s="1"/>
  <c r="H639" i="4"/>
  <c r="I639" i="4" s="1"/>
  <c r="J639" i="4" s="1"/>
  <c r="L639" i="4" s="1"/>
  <c r="M639" i="4" s="1"/>
  <c r="V624" i="4"/>
  <c r="W624" i="4" s="1"/>
  <c r="V625" i="4"/>
  <c r="W625" i="4" s="1"/>
  <c r="X624" i="4" l="1"/>
  <c r="X625" i="4"/>
  <c r="Z625" i="4" l="1"/>
  <c r="AA625" i="4" s="1"/>
  <c r="AB625" i="4" s="1"/>
  <c r="Z624" i="4"/>
  <c r="AA624" i="4" s="1"/>
  <c r="AB624" i="4" l="1"/>
  <c r="AC640" i="4"/>
  <c r="K656" i="4" s="1"/>
  <c r="AD624" i="4" l="1"/>
  <c r="AE624" i="4" s="1"/>
  <c r="AB633" i="4" s="1"/>
  <c r="AC639" i="4" s="1"/>
  <c r="K655" i="4" s="1"/>
  <c r="X633" i="4" l="1"/>
  <c r="X634" i="4"/>
  <c r="T633" i="4" l="1"/>
  <c r="T634" i="4"/>
  <c r="Y640" i="4"/>
  <c r="G656" i="4" s="1"/>
  <c r="Y639" i="4"/>
  <c r="G655" i="4" s="1"/>
  <c r="Y642" i="4"/>
  <c r="G658" i="4" s="1"/>
  <c r="Y641" i="4"/>
  <c r="G657" i="4" s="1"/>
  <c r="U642" i="4" l="1"/>
  <c r="C658" i="4" s="1"/>
  <c r="U641" i="4"/>
  <c r="U640" i="4"/>
  <c r="C656" i="4" s="1"/>
  <c r="U639" i="4"/>
  <c r="V639" i="4" l="1"/>
  <c r="W639" i="4" s="1"/>
  <c r="X639" i="4" s="1"/>
  <c r="C655" i="4"/>
  <c r="C657" i="4"/>
  <c r="V640" i="4"/>
  <c r="W640" i="4" s="1"/>
  <c r="X640" i="4" s="1"/>
  <c r="D655" i="4" l="1"/>
  <c r="E655" i="4" s="1"/>
  <c r="D656" i="4"/>
  <c r="E656" i="4" s="1"/>
  <c r="Z640" i="4"/>
  <c r="AA640" i="4" s="1"/>
  <c r="AB640" i="4" s="1"/>
  <c r="Z639" i="4"/>
  <c r="AA639" i="4" s="1"/>
  <c r="AB639" i="4" s="1"/>
  <c r="AD639" i="4" l="1"/>
  <c r="AE639" i="4" s="1"/>
  <c r="F656" i="4"/>
  <c r="F655" i="4"/>
  <c r="H656" i="4" l="1"/>
  <c r="I656" i="4" s="1"/>
  <c r="J656" i="4" s="1"/>
  <c r="H655" i="4"/>
  <c r="I655" i="4" s="1"/>
  <c r="J655" i="4" l="1"/>
  <c r="K671" i="4"/>
  <c r="AC656" i="4" s="1"/>
  <c r="L655" i="4" l="1"/>
  <c r="M655" i="4" s="1"/>
  <c r="J664" i="4" s="1"/>
  <c r="F664" i="4" l="1"/>
  <c r="F665" i="4"/>
  <c r="K670" i="4"/>
  <c r="AC655" i="4" s="1"/>
  <c r="G673" i="4" l="1"/>
  <c r="Y658" i="4" s="1"/>
  <c r="G672" i="4"/>
  <c r="Y657" i="4" s="1"/>
  <c r="B665" i="4"/>
  <c r="B664" i="4"/>
  <c r="G671" i="4"/>
  <c r="Y656" i="4" s="1"/>
  <c r="G670" i="4"/>
  <c r="Y655" i="4" s="1"/>
  <c r="C671" i="4" l="1"/>
  <c r="U656" i="4" s="1"/>
  <c r="C670" i="4"/>
  <c r="C673" i="4"/>
  <c r="U658" i="4" s="1"/>
  <c r="C672" i="4"/>
  <c r="D670" i="4" l="1"/>
  <c r="E670" i="4" s="1"/>
  <c r="F670" i="4" s="1"/>
  <c r="U655" i="4"/>
  <c r="D671" i="4"/>
  <c r="E671" i="4" s="1"/>
  <c r="F671" i="4" s="1"/>
  <c r="U657" i="4"/>
  <c r="V656" i="4" l="1"/>
  <c r="W656" i="4" s="1"/>
  <c r="H670" i="4"/>
  <c r="I670" i="4" s="1"/>
  <c r="J670" i="4" s="1"/>
  <c r="H671" i="4"/>
  <c r="I671" i="4" s="1"/>
  <c r="J671" i="4" s="1"/>
  <c r="V655" i="4"/>
  <c r="W655" i="4" s="1"/>
  <c r="L670" i="4" l="1"/>
  <c r="M670" i="4" s="1"/>
  <c r="X655" i="4"/>
  <c r="X656" i="4"/>
  <c r="Z655" i="4" l="1"/>
  <c r="AA655" i="4" s="1"/>
  <c r="Z656" i="4"/>
  <c r="AA656" i="4" s="1"/>
  <c r="AB656" i="4" s="1"/>
  <c r="AC671" i="4" l="1"/>
  <c r="K687" i="4" s="1"/>
  <c r="AB655" i="4"/>
  <c r="AD655" i="4" l="1"/>
  <c r="AE655" i="4" s="1"/>
  <c r="AB664" i="4" s="1"/>
  <c r="AC670" i="4" s="1"/>
  <c r="K686" i="4" s="1"/>
  <c r="X665" i="4" l="1"/>
  <c r="X664" i="4"/>
  <c r="T665" i="4" l="1"/>
  <c r="T664" i="4"/>
  <c r="Y671" i="4"/>
  <c r="G687" i="4" s="1"/>
  <c r="Y670" i="4"/>
  <c r="G686" i="4" s="1"/>
  <c r="Y672" i="4"/>
  <c r="G688" i="4" s="1"/>
  <c r="Y673" i="4"/>
  <c r="G689" i="4" s="1"/>
  <c r="U671" i="4" l="1"/>
  <c r="C687" i="4" s="1"/>
  <c r="U670" i="4"/>
  <c r="U673" i="4"/>
  <c r="C689" i="4" s="1"/>
  <c r="U672" i="4"/>
  <c r="C688" i="4" l="1"/>
  <c r="V671" i="4"/>
  <c r="W671" i="4" s="1"/>
  <c r="X671" i="4" s="1"/>
  <c r="C686" i="4"/>
  <c r="V670" i="4"/>
  <c r="W670" i="4" s="1"/>
  <c r="X670" i="4" s="1"/>
  <c r="D686" i="4" l="1"/>
  <c r="E686" i="4" s="1"/>
  <c r="Z671" i="4"/>
  <c r="AA671" i="4" s="1"/>
  <c r="AB671" i="4" s="1"/>
  <c r="Z670" i="4"/>
  <c r="AA670" i="4" s="1"/>
  <c r="AB670" i="4" s="1"/>
  <c r="D687" i="4"/>
  <c r="E687" i="4" s="1"/>
  <c r="F687" i="4" l="1"/>
  <c r="AD670" i="4"/>
  <c r="AE670" i="4" s="1"/>
  <c r="F686" i="4"/>
  <c r="H687" i="4" l="1"/>
  <c r="I687" i="4" s="1"/>
  <c r="J687" i="4" s="1"/>
  <c r="H686" i="4"/>
  <c r="I686" i="4" s="1"/>
  <c r="J686" i="4" l="1"/>
  <c r="K702" i="4"/>
  <c r="AC687" i="4" s="1"/>
  <c r="L686" i="4" l="1"/>
  <c r="M686" i="4" s="1"/>
  <c r="J695" i="4" s="1"/>
  <c r="K701" i="4" s="1"/>
  <c r="AC686" i="4" s="1"/>
  <c r="F695" i="4" l="1"/>
  <c r="F696" i="4"/>
  <c r="B696" i="4" l="1"/>
  <c r="B695" i="4"/>
  <c r="G702" i="4"/>
  <c r="Y687" i="4" s="1"/>
  <c r="G701" i="4"/>
  <c r="Y686" i="4" s="1"/>
  <c r="G703" i="4"/>
  <c r="Y688" i="4" s="1"/>
  <c r="G704" i="4"/>
  <c r="Y689" i="4" s="1"/>
  <c r="C702" i="4" l="1"/>
  <c r="U687" i="4" s="1"/>
  <c r="C701" i="4"/>
  <c r="C704" i="4"/>
  <c r="U689" i="4" s="1"/>
  <c r="C703" i="4"/>
  <c r="D702" i="4" l="1"/>
  <c r="E702" i="4" s="1"/>
  <c r="F702" i="4" s="1"/>
  <c r="U688" i="4"/>
  <c r="U686" i="4"/>
  <c r="D701" i="4"/>
  <c r="E701" i="4" s="1"/>
  <c r="F701" i="4" s="1"/>
  <c r="H701" i="4" l="1"/>
  <c r="I701" i="4" s="1"/>
  <c r="J701" i="4" s="1"/>
  <c r="H702" i="4"/>
  <c r="I702" i="4" s="1"/>
  <c r="J702" i="4" s="1"/>
  <c r="V687" i="4"/>
  <c r="W687" i="4" s="1"/>
  <c r="V686" i="4"/>
  <c r="W686" i="4" s="1"/>
  <c r="X687" i="4" l="1"/>
  <c r="X686" i="4"/>
  <c r="L701" i="4"/>
  <c r="M701" i="4" s="1"/>
  <c r="Z687" i="4" l="1"/>
  <c r="AA687" i="4" s="1"/>
  <c r="AB687" i="4" s="1"/>
  <c r="Z686" i="4"/>
  <c r="AA686" i="4" s="1"/>
  <c r="AB686" i="4" l="1"/>
  <c r="AC702" i="4"/>
  <c r="K718" i="4" s="1"/>
  <c r="AD686" i="4" l="1"/>
  <c r="AE686" i="4" s="1"/>
  <c r="AB695" i="4" s="1"/>
  <c r="AC701" i="4" s="1"/>
  <c r="K717" i="4" s="1"/>
  <c r="X695" i="4" l="1"/>
  <c r="X696" i="4"/>
  <c r="T696" i="4" l="1"/>
  <c r="T695" i="4"/>
  <c r="Y701" i="4"/>
  <c r="G717" i="4" s="1"/>
  <c r="Y702" i="4"/>
  <c r="G718" i="4" s="1"/>
  <c r="Y703" i="4"/>
  <c r="G719" i="4" s="1"/>
  <c r="Y704" i="4"/>
  <c r="G720" i="4" s="1"/>
  <c r="U702" i="4" l="1"/>
  <c r="C718" i="4" s="1"/>
  <c r="U701" i="4"/>
  <c r="U704" i="4"/>
  <c r="C720" i="4" s="1"/>
  <c r="U703" i="4"/>
  <c r="C719" i="4" l="1"/>
  <c r="V702" i="4"/>
  <c r="W702" i="4" s="1"/>
  <c r="X702" i="4" s="1"/>
  <c r="V701" i="4"/>
  <c r="W701" i="4" s="1"/>
  <c r="X701" i="4" s="1"/>
  <c r="C717" i="4"/>
  <c r="Z701" i="4" l="1"/>
  <c r="AA701" i="4" s="1"/>
  <c r="AB701" i="4" s="1"/>
  <c r="Z702" i="4"/>
  <c r="AA702" i="4" s="1"/>
  <c r="AB702" i="4" s="1"/>
  <c r="D717" i="4"/>
  <c r="E717" i="4" s="1"/>
  <c r="D718" i="4"/>
  <c r="E718" i="4" s="1"/>
  <c r="F718" i="4" l="1"/>
  <c r="F717" i="4"/>
  <c r="AD701" i="4"/>
  <c r="AE701" i="4" s="1"/>
  <c r="H717" i="4" l="1"/>
  <c r="I717" i="4" s="1"/>
  <c r="H718" i="4"/>
  <c r="I718" i="4" s="1"/>
  <c r="J718" i="4" s="1"/>
  <c r="K733" i="4" l="1"/>
  <c r="AC718" i="4" s="1"/>
  <c r="J717" i="4"/>
  <c r="L717" i="4" l="1"/>
  <c r="M717" i="4" s="1"/>
  <c r="J726" i="4" s="1"/>
  <c r="K732" i="4" s="1"/>
  <c r="AC717" i="4" s="1"/>
  <c r="F727" i="4" l="1"/>
  <c r="F726" i="4"/>
  <c r="B727" i="4" l="1"/>
  <c r="B726" i="4"/>
  <c r="G733" i="4"/>
  <c r="Y718" i="4" s="1"/>
  <c r="G732" i="4"/>
  <c r="Y717" i="4" s="1"/>
  <c r="G734" i="4"/>
  <c r="Y719" i="4" s="1"/>
  <c r="G735" i="4"/>
  <c r="Y720" i="4" s="1"/>
  <c r="C733" i="4" l="1"/>
  <c r="U718" i="4" s="1"/>
  <c r="C732" i="4"/>
  <c r="C735" i="4"/>
  <c r="U720" i="4" s="1"/>
  <c r="C734" i="4"/>
  <c r="D733" i="4" l="1"/>
  <c r="E733" i="4" s="1"/>
  <c r="F733" i="4" s="1"/>
  <c r="U719" i="4"/>
  <c r="D732" i="4"/>
  <c r="E732" i="4" s="1"/>
  <c r="F732" i="4" s="1"/>
  <c r="U717" i="4"/>
  <c r="V717" i="4" l="1"/>
  <c r="W717" i="4" s="1"/>
  <c r="H733" i="4"/>
  <c r="I733" i="4" s="1"/>
  <c r="J733" i="4" s="1"/>
  <c r="H732" i="4"/>
  <c r="I732" i="4" s="1"/>
  <c r="J732" i="4" s="1"/>
  <c r="V718" i="4"/>
  <c r="W718" i="4" s="1"/>
  <c r="X718" i="4" l="1"/>
  <c r="L732" i="4"/>
  <c r="M732" i="4" s="1"/>
  <c r="X717" i="4"/>
  <c r="Z717" i="4" l="1"/>
  <c r="AA717" i="4" s="1"/>
  <c r="Z718" i="4"/>
  <c r="AA718" i="4" s="1"/>
  <c r="AB718" i="4" s="1"/>
  <c r="AC733" i="4" l="1"/>
  <c r="K749" i="4" s="1"/>
  <c r="AB717" i="4"/>
  <c r="AD717" i="4" l="1"/>
  <c r="AE717" i="4" s="1"/>
  <c r="AB726" i="4" s="1"/>
  <c r="AC732" i="4" s="1"/>
  <c r="K748" i="4" s="1"/>
  <c r="X727" i="4" l="1"/>
  <c r="X726" i="4"/>
  <c r="T727" i="4" l="1"/>
  <c r="T726" i="4"/>
  <c r="Y733" i="4"/>
  <c r="G749" i="4" s="1"/>
  <c r="Y732" i="4"/>
  <c r="G748" i="4" s="1"/>
  <c r="Y734" i="4"/>
  <c r="G750" i="4" s="1"/>
  <c r="Y735" i="4"/>
  <c r="G751" i="4" s="1"/>
  <c r="U733" i="4" l="1"/>
  <c r="C749" i="4" s="1"/>
  <c r="U732" i="4"/>
  <c r="U735" i="4"/>
  <c r="C751" i="4" s="1"/>
  <c r="U734" i="4"/>
  <c r="C750" i="4" l="1"/>
  <c r="V733" i="4"/>
  <c r="W733" i="4" s="1"/>
  <c r="X733" i="4" s="1"/>
  <c r="V732" i="4"/>
  <c r="W732" i="4" s="1"/>
  <c r="X732" i="4" s="1"/>
  <c r="C748" i="4"/>
  <c r="Z732" i="4" l="1"/>
  <c r="AA732" i="4" s="1"/>
  <c r="AB732" i="4" s="1"/>
  <c r="Z733" i="4"/>
  <c r="AA733" i="4" s="1"/>
  <c r="AB733" i="4" s="1"/>
  <c r="D748" i="4"/>
  <c r="E748" i="4" s="1"/>
  <c r="D749" i="4"/>
  <c r="E749" i="4" s="1"/>
  <c r="AD732" i="4" l="1"/>
  <c r="AE732" i="4" s="1"/>
  <c r="F749" i="4"/>
  <c r="F748" i="4"/>
  <c r="H749" i="4" l="1"/>
  <c r="I749" i="4" s="1"/>
  <c r="J749" i="4" s="1"/>
  <c r="H748" i="4"/>
  <c r="I748" i="4" s="1"/>
  <c r="J748" i="4" l="1"/>
  <c r="K764" i="4"/>
  <c r="AC749" i="4" s="1"/>
  <c r="L748" i="4" l="1"/>
  <c r="M748" i="4" s="1"/>
  <c r="J757" i="4" s="1"/>
  <c r="K763" i="4" s="1"/>
  <c r="AC748" i="4" s="1"/>
  <c r="F758" i="4" l="1"/>
  <c r="F757" i="4"/>
  <c r="B758" i="4" l="1"/>
  <c r="B757" i="4"/>
  <c r="G764" i="4"/>
  <c r="Y749" i="4" s="1"/>
  <c r="G763" i="4"/>
  <c r="Y748" i="4" s="1"/>
  <c r="G765" i="4"/>
  <c r="Y750" i="4" s="1"/>
  <c r="G766" i="4"/>
  <c r="Y751" i="4" s="1"/>
  <c r="C764" i="4" l="1"/>
  <c r="U749" i="4" s="1"/>
  <c r="C763" i="4"/>
  <c r="C766" i="4"/>
  <c r="U751" i="4" s="1"/>
  <c r="C765" i="4"/>
  <c r="D764" i="4" l="1"/>
  <c r="E764" i="4" s="1"/>
  <c r="F764" i="4" s="1"/>
  <c r="U750" i="4"/>
  <c r="U748" i="4"/>
  <c r="D763" i="4"/>
  <c r="E763" i="4" s="1"/>
  <c r="F763" i="4" s="1"/>
  <c r="V749" i="4" l="1"/>
  <c r="W749" i="4" s="1"/>
  <c r="H764" i="4"/>
  <c r="I764" i="4" s="1"/>
  <c r="J764" i="4" s="1"/>
  <c r="H763" i="4"/>
  <c r="I763" i="4" s="1"/>
  <c r="J763" i="4" s="1"/>
  <c r="L763" i="4" s="1"/>
  <c r="M763" i="4" s="1"/>
  <c r="V748" i="4"/>
  <c r="W748" i="4" s="1"/>
  <c r="X748" i="4" l="1"/>
  <c r="X749" i="4"/>
  <c r="Z748" i="4" l="1"/>
  <c r="AA748" i="4" s="1"/>
  <c r="Z749" i="4"/>
  <c r="AA749" i="4" s="1"/>
  <c r="AB749" i="4" s="1"/>
  <c r="AC764" i="4" l="1"/>
  <c r="K780" i="4" s="1"/>
  <c r="AB748" i="4"/>
  <c r="AD748" i="4" l="1"/>
  <c r="AE748" i="4" s="1"/>
  <c r="AB757" i="4" s="1"/>
  <c r="AC763" i="4" s="1"/>
  <c r="K779" i="4" s="1"/>
  <c r="X758" i="4" l="1"/>
  <c r="X757" i="4"/>
  <c r="T758" i="4" l="1"/>
  <c r="T757" i="4"/>
  <c r="Y764" i="4"/>
  <c r="G780" i="4" s="1"/>
  <c r="Y763" i="4"/>
  <c r="G779" i="4" s="1"/>
  <c r="Y766" i="4"/>
  <c r="G782" i="4" s="1"/>
  <c r="Y765" i="4"/>
  <c r="G781" i="4" s="1"/>
  <c r="U764" i="4" l="1"/>
  <c r="C780" i="4" s="1"/>
  <c r="U763" i="4"/>
  <c r="U766" i="4"/>
  <c r="C782" i="4" s="1"/>
  <c r="U765" i="4"/>
  <c r="C781" i="4" l="1"/>
  <c r="V764" i="4"/>
  <c r="W764" i="4" s="1"/>
  <c r="X764" i="4" s="1"/>
  <c r="V763" i="4"/>
  <c r="W763" i="4" s="1"/>
  <c r="X763" i="4" s="1"/>
  <c r="C779" i="4"/>
  <c r="D779" i="4" l="1"/>
  <c r="E779" i="4" s="1"/>
  <c r="Z764" i="4"/>
  <c r="AA764" i="4" s="1"/>
  <c r="AB764" i="4" s="1"/>
  <c r="Z763" i="4"/>
  <c r="AA763" i="4" s="1"/>
  <c r="AB763" i="4" s="1"/>
  <c r="AD763" i="4" s="1"/>
  <c r="AE763" i="4" s="1"/>
  <c r="D780" i="4"/>
  <c r="E780" i="4" s="1"/>
  <c r="F780" i="4" l="1"/>
  <c r="F779" i="4"/>
  <c r="H779" i="4" l="1"/>
  <c r="I779" i="4" s="1"/>
  <c r="H780" i="4"/>
  <c r="I780" i="4" s="1"/>
  <c r="J780" i="4" s="1"/>
  <c r="K795" i="4" l="1"/>
  <c r="AC780" i="4" s="1"/>
  <c r="J779" i="4"/>
  <c r="L779" i="4" l="1"/>
  <c r="M779" i="4" s="1"/>
  <c r="J788" i="4" s="1"/>
  <c r="K794" i="4" s="1"/>
  <c r="AC779" i="4" s="1"/>
  <c r="F789" i="4" l="1"/>
  <c r="F788" i="4"/>
  <c r="B789" i="4" l="1"/>
  <c r="B788" i="4"/>
  <c r="G794" i="4"/>
  <c r="Y779" i="4" s="1"/>
  <c r="G795" i="4"/>
  <c r="Y780" i="4" s="1"/>
  <c r="G796" i="4"/>
  <c r="Y781" i="4" s="1"/>
  <c r="G797" i="4"/>
  <c r="Y782" i="4" s="1"/>
  <c r="C795" i="4" l="1"/>
  <c r="U780" i="4" s="1"/>
  <c r="C794" i="4"/>
  <c r="C797" i="4"/>
  <c r="U782" i="4" s="1"/>
  <c r="C796" i="4"/>
  <c r="D795" i="4" l="1"/>
  <c r="E795" i="4" s="1"/>
  <c r="F795" i="4" s="1"/>
  <c r="U781" i="4"/>
  <c r="U779" i="4"/>
  <c r="D794" i="4"/>
  <c r="E794" i="4" s="1"/>
  <c r="F794" i="4" s="1"/>
  <c r="V779" i="4" l="1"/>
  <c r="W779" i="4" s="1"/>
  <c r="H794" i="4"/>
  <c r="I794" i="4" s="1"/>
  <c r="J794" i="4" s="1"/>
  <c r="H795" i="4"/>
  <c r="I795" i="4" s="1"/>
  <c r="J795" i="4" s="1"/>
  <c r="V780" i="4"/>
  <c r="W780" i="4" s="1"/>
  <c r="X780" i="4" l="1"/>
  <c r="L794" i="4"/>
  <c r="M794" i="4" s="1"/>
  <c r="X779" i="4"/>
  <c r="Z780" i="4" l="1"/>
  <c r="AA780" i="4" s="1"/>
  <c r="AB780" i="4" s="1"/>
  <c r="Z779" i="4"/>
  <c r="AA779" i="4" s="1"/>
  <c r="AB779" i="4" l="1"/>
  <c r="AC795" i="4"/>
  <c r="K811" i="4" s="1"/>
  <c r="AD779" i="4" l="1"/>
  <c r="AE779" i="4" s="1"/>
  <c r="AB788" i="4" s="1"/>
  <c r="AC794" i="4" s="1"/>
  <c r="K810" i="4" s="1"/>
  <c r="X788" i="4" l="1"/>
  <c r="X789" i="4"/>
  <c r="T789" i="4" l="1"/>
  <c r="T788" i="4"/>
  <c r="Y794" i="4"/>
  <c r="G810" i="4" s="1"/>
  <c r="Y795" i="4"/>
  <c r="G811" i="4" s="1"/>
  <c r="Y797" i="4"/>
  <c r="G813" i="4" s="1"/>
  <c r="Y796" i="4"/>
  <c r="G812" i="4" s="1"/>
  <c r="U795" i="4" l="1"/>
  <c r="C811" i="4" s="1"/>
  <c r="U794" i="4"/>
  <c r="U797" i="4"/>
  <c r="C813" i="4" s="1"/>
  <c r="U796" i="4"/>
  <c r="C812" i="4" l="1"/>
  <c r="V795" i="4"/>
  <c r="W795" i="4" s="1"/>
  <c r="X795" i="4" s="1"/>
  <c r="V794" i="4"/>
  <c r="W794" i="4" s="1"/>
  <c r="X794" i="4" s="1"/>
  <c r="C810" i="4"/>
  <c r="Z795" i="4" l="1"/>
  <c r="AA795" i="4" s="1"/>
  <c r="AB795" i="4" s="1"/>
  <c r="Z794" i="4"/>
  <c r="AA794" i="4" s="1"/>
  <c r="AB794" i="4" s="1"/>
  <c r="AD794" i="4" s="1"/>
  <c r="AE794" i="4" s="1"/>
  <c r="D810" i="4"/>
  <c r="E810" i="4" s="1"/>
  <c r="D811" i="4"/>
  <c r="E811" i="4" s="1"/>
  <c r="F811" i="4" l="1"/>
  <c r="F810" i="4"/>
  <c r="H810" i="4" l="1"/>
  <c r="I810" i="4" s="1"/>
  <c r="H811" i="4"/>
  <c r="I811" i="4" s="1"/>
  <c r="J811" i="4" s="1"/>
  <c r="K826" i="4" l="1"/>
  <c r="AC811" i="4" s="1"/>
  <c r="J810" i="4"/>
  <c r="L810" i="4" l="1"/>
  <c r="M810" i="4" s="1"/>
  <c r="J819" i="4" s="1"/>
  <c r="K825" i="4" s="1"/>
  <c r="AC810" i="4" s="1"/>
  <c r="F820" i="4" l="1"/>
  <c r="F819" i="4"/>
  <c r="B820" i="4" l="1"/>
  <c r="B819" i="4"/>
  <c r="G826" i="4"/>
  <c r="Y811" i="4" s="1"/>
  <c r="G825" i="4"/>
  <c r="Y810" i="4" s="1"/>
  <c r="G827" i="4"/>
  <c r="Y812" i="4" s="1"/>
  <c r="G828" i="4"/>
  <c r="Y813" i="4" s="1"/>
  <c r="C826" i="4" l="1"/>
  <c r="U811" i="4" s="1"/>
  <c r="C825" i="4"/>
  <c r="C828" i="4"/>
  <c r="U813" i="4" s="1"/>
  <c r="C827" i="4"/>
  <c r="U812" i="4" l="1"/>
  <c r="D826" i="4"/>
  <c r="E826" i="4" s="1"/>
  <c r="F826" i="4" s="1"/>
  <c r="D825" i="4"/>
  <c r="E825" i="4" s="1"/>
  <c r="F825" i="4" s="1"/>
  <c r="U810" i="4"/>
  <c r="V810" i="4" l="1"/>
  <c r="W810" i="4" s="1"/>
  <c r="H826" i="4"/>
  <c r="I826" i="4" s="1"/>
  <c r="J826" i="4" s="1"/>
  <c r="H825" i="4"/>
  <c r="I825" i="4" s="1"/>
  <c r="J825" i="4" s="1"/>
  <c r="L825" i="4" s="1"/>
  <c r="M825" i="4" s="1"/>
  <c r="V811" i="4"/>
  <c r="W811" i="4" s="1"/>
  <c r="X811" i="4" l="1"/>
  <c r="X810" i="4"/>
  <c r="Z811" i="4" l="1"/>
  <c r="AA811" i="4" s="1"/>
  <c r="AB811" i="4" s="1"/>
  <c r="Z810" i="4"/>
  <c r="AA810" i="4" s="1"/>
  <c r="AB810" i="4" l="1"/>
  <c r="AC826" i="4"/>
  <c r="K842" i="4" s="1"/>
  <c r="AD810" i="4" l="1"/>
  <c r="AE810" i="4" s="1"/>
  <c r="AB819" i="4" s="1"/>
  <c r="AC825" i="4" s="1"/>
  <c r="K841" i="4" s="1"/>
  <c r="X819" i="4" l="1"/>
  <c r="X820" i="4"/>
  <c r="T820" i="4" l="1"/>
  <c r="T819" i="4"/>
  <c r="Y825" i="4"/>
  <c r="G841" i="4" s="1"/>
  <c r="Y826" i="4"/>
  <c r="G842" i="4" s="1"/>
  <c r="Y827" i="4"/>
  <c r="G843" i="4" s="1"/>
  <c r="Y828" i="4"/>
  <c r="G844" i="4" s="1"/>
  <c r="U826" i="4" l="1"/>
  <c r="C842" i="4" s="1"/>
  <c r="U825" i="4"/>
  <c r="U828" i="4"/>
  <c r="C844" i="4" s="1"/>
  <c r="U827" i="4"/>
  <c r="V826" i="4" l="1"/>
  <c r="W826" i="4" s="1"/>
  <c r="X826" i="4" s="1"/>
  <c r="C843" i="4"/>
  <c r="C841" i="4"/>
  <c r="V825" i="4"/>
  <c r="W825" i="4" s="1"/>
  <c r="X825" i="4" s="1"/>
  <c r="D841" i="4" l="1"/>
  <c r="E841" i="4" s="1"/>
  <c r="D842" i="4"/>
  <c r="E842" i="4" s="1"/>
  <c r="Z826" i="4"/>
  <c r="AA826" i="4" s="1"/>
  <c r="AB826" i="4" s="1"/>
  <c r="Z825" i="4"/>
  <c r="AA825" i="4" s="1"/>
  <c r="AB825" i="4" s="1"/>
  <c r="AD825" i="4" l="1"/>
  <c r="AE825" i="4" s="1"/>
  <c r="F842" i="4"/>
  <c r="F841" i="4"/>
  <c r="H842" i="4" l="1"/>
  <c r="I842" i="4" s="1"/>
  <c r="J842" i="4" s="1"/>
  <c r="H841" i="4"/>
  <c r="I841" i="4" s="1"/>
  <c r="J841" i="4" l="1"/>
  <c r="K857" i="4"/>
  <c r="AC842" i="4" s="1"/>
  <c r="L841" i="4" l="1"/>
  <c r="M841" i="4" s="1"/>
  <c r="J850" i="4" s="1"/>
  <c r="K856" i="4" s="1"/>
  <c r="AC841" i="4" s="1"/>
  <c r="F850" i="4" l="1"/>
  <c r="F851" i="4"/>
  <c r="G858" i="4" l="1"/>
  <c r="Y843" i="4" s="1"/>
  <c r="G859" i="4"/>
  <c r="Y844" i="4" s="1"/>
  <c r="B851" i="4"/>
  <c r="B850" i="4"/>
  <c r="G856" i="4"/>
  <c r="Y841" i="4" s="1"/>
  <c r="G857" i="4"/>
  <c r="Y842" i="4" s="1"/>
  <c r="C859" i="4" l="1"/>
  <c r="U844" i="4" s="1"/>
  <c r="C858" i="4"/>
  <c r="C857" i="4"/>
  <c r="U842" i="4" s="1"/>
  <c r="C856" i="4"/>
  <c r="D856" i="4" l="1"/>
  <c r="E856" i="4" s="1"/>
  <c r="F856" i="4" s="1"/>
  <c r="U841" i="4"/>
  <c r="U843" i="4"/>
  <c r="D857" i="4"/>
  <c r="E857" i="4" s="1"/>
  <c r="F857" i="4" s="1"/>
  <c r="V842" i="4" l="1"/>
  <c r="W842" i="4" s="1"/>
  <c r="V841" i="4"/>
  <c r="W841" i="4" s="1"/>
  <c r="H856" i="4"/>
  <c r="I856" i="4" s="1"/>
  <c r="J856" i="4" s="1"/>
  <c r="H857" i="4"/>
  <c r="I857" i="4" s="1"/>
  <c r="J857" i="4" s="1"/>
  <c r="L856" i="4" l="1"/>
  <c r="M856" i="4" s="1"/>
  <c r="X842" i="4"/>
  <c r="X841" i="4"/>
  <c r="Z841" i="4" l="1"/>
  <c r="AA841" i="4" s="1"/>
  <c r="Z842" i="4"/>
  <c r="AA842" i="4" s="1"/>
  <c r="AB842" i="4" s="1"/>
  <c r="AC857" i="4" l="1"/>
  <c r="K873" i="4" s="1"/>
  <c r="AB841" i="4"/>
  <c r="AD841" i="4" l="1"/>
  <c r="AE841" i="4" s="1"/>
  <c r="AB850" i="4" s="1"/>
  <c r="AC856" i="4" s="1"/>
  <c r="K872" i="4" s="1"/>
  <c r="X851" i="4" l="1"/>
  <c r="X850" i="4"/>
  <c r="T851" i="4" l="1"/>
  <c r="T850" i="4"/>
  <c r="Y857" i="4"/>
  <c r="G873" i="4" s="1"/>
  <c r="Y856" i="4"/>
  <c r="G872" i="4" s="1"/>
  <c r="Y859" i="4"/>
  <c r="G875" i="4" s="1"/>
  <c r="Y858" i="4"/>
  <c r="G874" i="4" s="1"/>
  <c r="U857" i="4" l="1"/>
  <c r="C873" i="4" s="1"/>
  <c r="U856" i="4"/>
  <c r="U859" i="4"/>
  <c r="C875" i="4" s="1"/>
  <c r="U858" i="4"/>
  <c r="V856" i="4" l="1"/>
  <c r="W856" i="4" s="1"/>
  <c r="X856" i="4" s="1"/>
  <c r="C872" i="4"/>
  <c r="V857" i="4"/>
  <c r="W857" i="4" s="1"/>
  <c r="X857" i="4" s="1"/>
  <c r="C874" i="4"/>
  <c r="D873" i="4" l="1"/>
  <c r="E873" i="4" s="1"/>
  <c r="Z857" i="4"/>
  <c r="AA857" i="4" s="1"/>
  <c r="AB857" i="4" s="1"/>
  <c r="Z856" i="4"/>
  <c r="AA856" i="4" s="1"/>
  <c r="AB856" i="4" s="1"/>
  <c r="D872" i="4"/>
  <c r="E872" i="4" s="1"/>
  <c r="AD856" i="4" l="1"/>
  <c r="AE856" i="4" s="1"/>
  <c r="F872" i="4"/>
  <c r="F873" i="4"/>
  <c r="H872" i="4" l="1"/>
  <c r="I872" i="4" s="1"/>
  <c r="H873" i="4"/>
  <c r="I873" i="4" s="1"/>
  <c r="J873" i="4" s="1"/>
  <c r="J872" i="4" l="1"/>
  <c r="K888" i="4"/>
  <c r="AC873" i="4" s="1"/>
  <c r="L872" i="4" l="1"/>
  <c r="M872" i="4" s="1"/>
  <c r="J881" i="4" s="1"/>
  <c r="K887" i="4" s="1"/>
  <c r="AC872" i="4" s="1"/>
  <c r="F881" i="4" l="1"/>
  <c r="F882" i="4"/>
  <c r="G890" i="4" l="1"/>
  <c r="Y875" i="4" s="1"/>
  <c r="G889" i="4"/>
  <c r="Y874" i="4" s="1"/>
  <c r="B881" i="4"/>
  <c r="B882" i="4"/>
  <c r="G888" i="4"/>
  <c r="Y873" i="4" s="1"/>
  <c r="G887" i="4"/>
  <c r="Y872" i="4" s="1"/>
  <c r="C890" i="4" l="1"/>
  <c r="U875" i="4" s="1"/>
  <c r="C889" i="4"/>
  <c r="C888" i="4"/>
  <c r="U873" i="4" s="1"/>
  <c r="C887" i="4"/>
  <c r="U872" i="4" l="1"/>
  <c r="D887" i="4"/>
  <c r="E887" i="4" s="1"/>
  <c r="F887" i="4" s="1"/>
  <c r="D888" i="4"/>
  <c r="E888" i="4" s="1"/>
  <c r="F888" i="4" s="1"/>
  <c r="U874" i="4"/>
  <c r="V873" i="4" l="1"/>
  <c r="W873" i="4" s="1"/>
  <c r="H888" i="4"/>
  <c r="I888" i="4" s="1"/>
  <c r="J888" i="4" s="1"/>
  <c r="H887" i="4"/>
  <c r="I887" i="4" s="1"/>
  <c r="J887" i="4" s="1"/>
  <c r="V872" i="4"/>
  <c r="W872" i="4" s="1"/>
  <c r="L887" i="4" l="1"/>
  <c r="M887" i="4" s="1"/>
  <c r="X872" i="4"/>
  <c r="X873" i="4"/>
  <c r="Z873" i="4" l="1"/>
  <c r="AA873" i="4" s="1"/>
  <c r="AB873" i="4" s="1"/>
  <c r="Z872" i="4"/>
  <c r="AA872" i="4" s="1"/>
  <c r="AB872" i="4" l="1"/>
  <c r="AC888" i="4"/>
  <c r="K904" i="4" s="1"/>
  <c r="AD872" i="4" l="1"/>
  <c r="AE872" i="4" s="1"/>
  <c r="AB881" i="4" s="1"/>
  <c r="X881" i="4" l="1"/>
  <c r="X882" i="4"/>
  <c r="AC887" i="4"/>
  <c r="K903" i="4" s="1"/>
  <c r="Y890" i="4" l="1"/>
  <c r="G906" i="4" s="1"/>
  <c r="Y889" i="4"/>
  <c r="G905" i="4" s="1"/>
  <c r="T881" i="4"/>
  <c r="T882" i="4"/>
  <c r="Y888" i="4"/>
  <c r="G904" i="4" s="1"/>
  <c r="Y887" i="4"/>
  <c r="G903" i="4" s="1"/>
  <c r="U890" i="4" l="1"/>
  <c r="C906" i="4" s="1"/>
  <c r="U889" i="4"/>
  <c r="U888" i="4"/>
  <c r="C904" i="4" s="1"/>
  <c r="U887" i="4"/>
  <c r="C905" i="4" l="1"/>
  <c r="V888" i="4"/>
  <c r="W888" i="4" s="1"/>
  <c r="X888" i="4" s="1"/>
  <c r="V887" i="4"/>
  <c r="W887" i="4" s="1"/>
  <c r="X887" i="4" s="1"/>
  <c r="C903" i="4"/>
  <c r="D903" i="4" l="1"/>
  <c r="E903" i="4" s="1"/>
  <c r="Z888" i="4"/>
  <c r="AA888" i="4" s="1"/>
  <c r="AB888" i="4" s="1"/>
  <c r="Z887" i="4"/>
  <c r="AA887" i="4" s="1"/>
  <c r="AB887" i="4" s="1"/>
  <c r="D904" i="4"/>
  <c r="E904" i="4" s="1"/>
  <c r="F904" i="4" l="1"/>
  <c r="AD887" i="4"/>
  <c r="AE887" i="4" s="1"/>
  <c r="F903" i="4"/>
  <c r="H904" i="4" l="1"/>
  <c r="I904" i="4" s="1"/>
  <c r="J904" i="4" s="1"/>
  <c r="H903" i="4"/>
  <c r="I903" i="4" s="1"/>
  <c r="J903" i="4" l="1"/>
  <c r="K919" i="4"/>
  <c r="AC904" i="4" s="1"/>
  <c r="L903" i="4" l="1"/>
  <c r="M903" i="4" s="1"/>
  <c r="J912" i="4" s="1"/>
  <c r="K918" i="4" s="1"/>
  <c r="AC903" i="4" s="1"/>
  <c r="F912" i="4" l="1"/>
  <c r="F913" i="4"/>
  <c r="G920" i="4" l="1"/>
  <c r="Y905" i="4" s="1"/>
  <c r="G921" i="4"/>
  <c r="Y906" i="4" s="1"/>
  <c r="B913" i="4"/>
  <c r="B912" i="4"/>
  <c r="G919" i="4"/>
  <c r="Y904" i="4" s="1"/>
  <c r="G918" i="4"/>
  <c r="Y903" i="4" s="1"/>
  <c r="C919" i="4" l="1"/>
  <c r="U904" i="4" s="1"/>
  <c r="C918" i="4"/>
  <c r="C921" i="4"/>
  <c r="U906" i="4" s="1"/>
  <c r="C920" i="4"/>
  <c r="U905" i="4" l="1"/>
  <c r="D919" i="4"/>
  <c r="E919" i="4" s="1"/>
  <c r="F919" i="4" s="1"/>
  <c r="D918" i="4"/>
  <c r="E918" i="4" s="1"/>
  <c r="F918" i="4" s="1"/>
  <c r="U903" i="4"/>
  <c r="H918" i="4" l="1"/>
  <c r="I918" i="4" s="1"/>
  <c r="J918" i="4" s="1"/>
  <c r="H919" i="4"/>
  <c r="I919" i="4" s="1"/>
  <c r="J919" i="4" s="1"/>
  <c r="V903" i="4"/>
  <c r="W903" i="4" s="1"/>
  <c r="V904" i="4"/>
  <c r="W904" i="4" s="1"/>
  <c r="L918" i="4" l="1"/>
  <c r="M918" i="4" s="1"/>
  <c r="X904" i="4"/>
  <c r="X903" i="4"/>
  <c r="Z903" i="4" l="1"/>
  <c r="AA903" i="4" s="1"/>
  <c r="Z904" i="4"/>
  <c r="AA904" i="4" s="1"/>
  <c r="AB904" i="4" s="1"/>
  <c r="AC919" i="4" l="1"/>
  <c r="K935" i="4" s="1"/>
  <c r="AB903" i="4"/>
  <c r="AD903" i="4" l="1"/>
  <c r="AE903" i="4" s="1"/>
  <c r="AB912" i="4" s="1"/>
  <c r="AC918" i="4" s="1"/>
  <c r="K934" i="4" s="1"/>
  <c r="X913" i="4" l="1"/>
  <c r="X912" i="4"/>
  <c r="Y920" i="4" l="1"/>
  <c r="G936" i="4" s="1"/>
  <c r="Y921" i="4"/>
  <c r="G937" i="4" s="1"/>
  <c r="T913" i="4"/>
  <c r="T912" i="4"/>
  <c r="Y919" i="4"/>
  <c r="G935" i="4" s="1"/>
  <c r="Y918" i="4"/>
  <c r="G934" i="4" s="1"/>
  <c r="U921" i="4" l="1"/>
  <c r="C937" i="4" s="1"/>
  <c r="U920" i="4"/>
  <c r="U919" i="4"/>
  <c r="C935" i="4" s="1"/>
  <c r="U918" i="4"/>
  <c r="V918" i="4" l="1"/>
  <c r="W918" i="4" s="1"/>
  <c r="X918" i="4" s="1"/>
  <c r="C934" i="4"/>
  <c r="C936" i="4"/>
  <c r="V919" i="4"/>
  <c r="W919" i="4" s="1"/>
  <c r="X919" i="4" s="1"/>
  <c r="D935" i="4" l="1"/>
  <c r="E935" i="4" s="1"/>
  <c r="D934" i="4"/>
  <c r="E934" i="4" s="1"/>
  <c r="Z919" i="4"/>
  <c r="AA919" i="4" s="1"/>
  <c r="AB919" i="4" s="1"/>
  <c r="Z918" i="4"/>
  <c r="AA918" i="4" s="1"/>
  <c r="AB918" i="4" s="1"/>
  <c r="AD918" i="4" l="1"/>
  <c r="AE918" i="4" s="1"/>
  <c r="F934" i="4"/>
  <c r="F935" i="4"/>
  <c r="H935" i="4" l="1"/>
  <c r="I935" i="4" s="1"/>
  <c r="J935" i="4" s="1"/>
  <c r="H934" i="4"/>
  <c r="I934" i="4" s="1"/>
  <c r="J934" i="4" l="1"/>
  <c r="K950" i="4"/>
  <c r="AC935" i="4" s="1"/>
  <c r="L934" i="4" l="1"/>
  <c r="M934" i="4" s="1"/>
  <c r="J943" i="4" s="1"/>
  <c r="F943" i="4" l="1"/>
  <c r="F944" i="4"/>
  <c r="K949" i="4"/>
  <c r="AC934" i="4" s="1"/>
  <c r="G952" i="4" l="1"/>
  <c r="Y937" i="4" s="1"/>
  <c r="G951" i="4"/>
  <c r="Y936" i="4" s="1"/>
  <c r="B943" i="4"/>
  <c r="B944" i="4"/>
  <c r="G950" i="4"/>
  <c r="Y935" i="4" s="1"/>
  <c r="G949" i="4"/>
  <c r="Y934" i="4" s="1"/>
  <c r="C952" i="4" l="1"/>
  <c r="U937" i="4" s="1"/>
  <c r="C951" i="4"/>
  <c r="C950" i="4"/>
  <c r="U935" i="4" s="1"/>
  <c r="C949" i="4"/>
  <c r="U934" i="4" l="1"/>
  <c r="D949" i="4"/>
  <c r="E949" i="4" s="1"/>
  <c r="F949" i="4" s="1"/>
  <c r="D950" i="4"/>
  <c r="E950" i="4" s="1"/>
  <c r="F950" i="4" s="1"/>
  <c r="U936" i="4"/>
  <c r="V935" i="4" l="1"/>
  <c r="W935" i="4" s="1"/>
  <c r="H949" i="4"/>
  <c r="I949" i="4" s="1"/>
  <c r="J949" i="4" s="1"/>
  <c r="H950" i="4"/>
  <c r="I950" i="4" s="1"/>
  <c r="J950" i="4" s="1"/>
  <c r="V934" i="4"/>
  <c r="W934" i="4" s="1"/>
  <c r="L949" i="4" l="1"/>
  <c r="M949" i="4" s="1"/>
  <c r="X934" i="4"/>
  <c r="X935" i="4"/>
  <c r="Z935" i="4" l="1"/>
  <c r="AA935" i="4" s="1"/>
  <c r="AB935" i="4" s="1"/>
  <c r="Z934" i="4"/>
  <c r="AA934" i="4" s="1"/>
  <c r="AC950" i="4" l="1"/>
  <c r="K966" i="4" s="1"/>
  <c r="AB934" i="4"/>
  <c r="AD934" i="4" l="1"/>
  <c r="AE934" i="4" s="1"/>
  <c r="AB943" i="4" s="1"/>
  <c r="AC949" i="4" s="1"/>
  <c r="K965" i="4" s="1"/>
  <c r="X944" i="4" l="1"/>
  <c r="X943" i="4"/>
  <c r="T944" i="4" l="1"/>
  <c r="T943" i="4"/>
  <c r="Y950" i="4"/>
  <c r="G966" i="4" s="1"/>
  <c r="Y949" i="4"/>
  <c r="G965" i="4" s="1"/>
  <c r="Y952" i="4"/>
  <c r="G968" i="4" s="1"/>
  <c r="Y951" i="4"/>
  <c r="G967" i="4" s="1"/>
  <c r="U950" i="4" l="1"/>
  <c r="C966" i="4" s="1"/>
  <c r="U949" i="4"/>
  <c r="U952" i="4"/>
  <c r="C968" i="4" s="1"/>
  <c r="U951" i="4"/>
  <c r="V949" i="4" l="1"/>
  <c r="W949" i="4" s="1"/>
  <c r="X949" i="4" s="1"/>
  <c r="C965" i="4"/>
  <c r="C967" i="4"/>
  <c r="V950" i="4"/>
  <c r="W950" i="4" s="1"/>
  <c r="X950" i="4" s="1"/>
  <c r="D966" i="4" l="1"/>
  <c r="E966" i="4" s="1"/>
  <c r="D965" i="4"/>
  <c r="E965" i="4" s="1"/>
  <c r="Z949" i="4"/>
  <c r="AA949" i="4" s="1"/>
  <c r="AB949" i="4" s="1"/>
  <c r="Z950" i="4"/>
  <c r="AA950" i="4" s="1"/>
  <c r="AB950" i="4" s="1"/>
  <c r="AD949" i="4" l="1"/>
  <c r="AE949" i="4" s="1"/>
  <c r="F965" i="4"/>
  <c r="F966" i="4"/>
  <c r="H965" i="4" l="1"/>
  <c r="I965" i="4" s="1"/>
  <c r="H966" i="4"/>
  <c r="I966" i="4" s="1"/>
  <c r="J966" i="4" s="1"/>
  <c r="K981" i="4" l="1"/>
  <c r="AC966" i="4" s="1"/>
  <c r="J965" i="4"/>
  <c r="L965" i="4" l="1"/>
  <c r="M965" i="4" s="1"/>
  <c r="J974" i="4" s="1"/>
  <c r="K980" i="4" s="1"/>
  <c r="AC965" i="4" s="1"/>
  <c r="F975" i="4" l="1"/>
  <c r="F974" i="4"/>
  <c r="B974" i="4" l="1"/>
  <c r="B975" i="4"/>
  <c r="G980" i="4"/>
  <c r="Y965" i="4" s="1"/>
  <c r="G981" i="4"/>
  <c r="Y966" i="4" s="1"/>
  <c r="G983" i="4"/>
  <c r="Y968" i="4" s="1"/>
  <c r="G982" i="4"/>
  <c r="Y967" i="4" s="1"/>
  <c r="C983" i="4" l="1"/>
  <c r="U968" i="4" s="1"/>
  <c r="C982" i="4"/>
  <c r="C981" i="4"/>
  <c r="U966" i="4" s="1"/>
  <c r="C980" i="4"/>
  <c r="U967" i="4" l="1"/>
  <c r="D981" i="4"/>
  <c r="E981" i="4" s="1"/>
  <c r="F981" i="4" s="1"/>
  <c r="U965" i="4"/>
  <c r="D980" i="4"/>
  <c r="E980" i="4" s="1"/>
  <c r="F980" i="4" s="1"/>
  <c r="H981" i="4" l="1"/>
  <c r="I981" i="4" s="1"/>
  <c r="J981" i="4" s="1"/>
  <c r="H980" i="4"/>
  <c r="I980" i="4" s="1"/>
  <c r="J980" i="4" s="1"/>
  <c r="L980" i="4" s="1"/>
  <c r="M980" i="4" s="1"/>
  <c r="V965" i="4"/>
  <c r="W965" i="4" s="1"/>
  <c r="V966" i="4"/>
  <c r="W966" i="4" s="1"/>
  <c r="X966" i="4" l="1"/>
  <c r="X965" i="4"/>
  <c r="Z965" i="4" l="1"/>
  <c r="AA965" i="4" s="1"/>
  <c r="Z966" i="4"/>
  <c r="AA966" i="4" s="1"/>
  <c r="AB966" i="4" s="1"/>
  <c r="AC981" i="4" l="1"/>
  <c r="K997" i="4" s="1"/>
  <c r="AB965" i="4"/>
  <c r="AD965" i="4" l="1"/>
  <c r="AE965" i="4" s="1"/>
  <c r="AB974" i="4" s="1"/>
  <c r="AC980" i="4" s="1"/>
  <c r="K996" i="4" s="1"/>
  <c r="X975" i="4" l="1"/>
  <c r="X974" i="4"/>
  <c r="T975" i="4" l="1"/>
  <c r="T974" i="4"/>
  <c r="Y981" i="4"/>
  <c r="G997" i="4" s="1"/>
  <c r="Y980" i="4"/>
  <c r="G996" i="4" s="1"/>
  <c r="Y983" i="4"/>
  <c r="G999" i="4" s="1"/>
  <c r="Y982" i="4"/>
  <c r="G998" i="4" s="1"/>
  <c r="U981" i="4" l="1"/>
  <c r="C997" i="4" s="1"/>
  <c r="U980" i="4"/>
  <c r="U983" i="4"/>
  <c r="C999" i="4" s="1"/>
  <c r="U982" i="4"/>
  <c r="C996" i="4" l="1"/>
  <c r="V980" i="4"/>
  <c r="W980" i="4" s="1"/>
  <c r="X980" i="4" s="1"/>
  <c r="C998" i="4"/>
  <c r="V981" i="4"/>
  <c r="W981" i="4" s="1"/>
  <c r="X981" i="4" s="1"/>
  <c r="D997" i="4" l="1"/>
  <c r="E997" i="4" s="1"/>
  <c r="D996" i="4"/>
  <c r="E996" i="4" s="1"/>
  <c r="Z980" i="4"/>
  <c r="AA980" i="4" s="1"/>
  <c r="AB980" i="4" s="1"/>
  <c r="Z981" i="4"/>
  <c r="AA981" i="4" s="1"/>
  <c r="AB981" i="4" s="1"/>
  <c r="AD980" i="4" l="1"/>
  <c r="AE980" i="4" s="1"/>
  <c r="F996" i="4"/>
  <c r="F997" i="4"/>
  <c r="H997" i="4" l="1"/>
  <c r="I997" i="4" s="1"/>
  <c r="J997" i="4" s="1"/>
  <c r="H996" i="4"/>
  <c r="I996" i="4" s="1"/>
  <c r="J996" i="4" l="1"/>
  <c r="K1012" i="4"/>
  <c r="AC997" i="4" s="1"/>
  <c r="L996" i="4" l="1"/>
  <c r="M996" i="4" s="1"/>
  <c r="J1005" i="4" s="1"/>
  <c r="K1011" i="4" s="1"/>
  <c r="AC996" i="4" s="1"/>
  <c r="F1005" i="4" l="1"/>
  <c r="F1006" i="4"/>
  <c r="G1014" i="4" l="1"/>
  <c r="Y999" i="4" s="1"/>
  <c r="G1013" i="4"/>
  <c r="Y998" i="4" s="1"/>
  <c r="B1005" i="4"/>
  <c r="B1006" i="4"/>
  <c r="G1012" i="4"/>
  <c r="Y997" i="4" s="1"/>
  <c r="G1011" i="4"/>
  <c r="Y996" i="4" s="1"/>
  <c r="C1014" i="4" l="1"/>
  <c r="U999" i="4" s="1"/>
  <c r="C1013" i="4"/>
  <c r="C1012" i="4"/>
  <c r="U997" i="4" s="1"/>
  <c r="C1011" i="4"/>
  <c r="D1011" i="4" l="1"/>
  <c r="E1011" i="4" s="1"/>
  <c r="F1011" i="4" s="1"/>
  <c r="U996" i="4"/>
  <c r="D1012" i="4"/>
  <c r="E1012" i="4" s="1"/>
  <c r="F1012" i="4" s="1"/>
  <c r="U998" i="4"/>
  <c r="V997" i="4" l="1"/>
  <c r="W997" i="4" s="1"/>
  <c r="V996" i="4"/>
  <c r="W996" i="4" s="1"/>
  <c r="H1011" i="4"/>
  <c r="I1011" i="4" s="1"/>
  <c r="J1011" i="4" s="1"/>
  <c r="H1012" i="4"/>
  <c r="I1012" i="4" s="1"/>
  <c r="J1012" i="4" s="1"/>
  <c r="L1011" i="4" l="1"/>
  <c r="M1011" i="4" s="1"/>
  <c r="X997" i="4"/>
  <c r="X996" i="4"/>
  <c r="Z996" i="4" l="1"/>
  <c r="AA996" i="4" s="1"/>
  <c r="Z997" i="4"/>
  <c r="AA997" i="4" s="1"/>
  <c r="AB997" i="4" s="1"/>
  <c r="AC1012" i="4" l="1"/>
  <c r="K1028" i="4" s="1"/>
  <c r="AB996" i="4"/>
  <c r="AD996" i="4" l="1"/>
  <c r="AE996" i="4" s="1"/>
  <c r="AB1005" i="4" s="1"/>
  <c r="AC1011" i="4" s="1"/>
  <c r="K1027" i="4" s="1"/>
  <c r="X1006" i="4" l="1"/>
  <c r="X1005" i="4"/>
  <c r="Y1014" i="4" l="1"/>
  <c r="G1030" i="4" s="1"/>
  <c r="Y1013" i="4"/>
  <c r="G1029" i="4" s="1"/>
  <c r="T1006" i="4"/>
  <c r="T1005" i="4"/>
  <c r="Y1011" i="4"/>
  <c r="G1027" i="4" s="1"/>
  <c r="Y1012" i="4"/>
  <c r="G1028" i="4" s="1"/>
  <c r="U1014" i="4" l="1"/>
  <c r="C1030" i="4" s="1"/>
  <c r="U1013" i="4"/>
  <c r="U1012" i="4"/>
  <c r="C1028" i="4" s="1"/>
  <c r="U1011" i="4"/>
  <c r="C1027" i="4" l="1"/>
  <c r="V1011" i="4"/>
  <c r="W1011" i="4" s="1"/>
  <c r="X1011" i="4" s="1"/>
  <c r="V1012" i="4"/>
  <c r="W1012" i="4" s="1"/>
  <c r="X1012" i="4" s="1"/>
  <c r="C1029" i="4"/>
  <c r="D1028" i="4" l="1"/>
  <c r="E1028" i="4" s="1"/>
  <c r="Z1012" i="4"/>
  <c r="AA1012" i="4" s="1"/>
  <c r="AB1012" i="4" s="1"/>
  <c r="Z1011" i="4"/>
  <c r="AA1011" i="4" s="1"/>
  <c r="AB1011" i="4" s="1"/>
  <c r="D1027" i="4"/>
  <c r="E1027" i="4" s="1"/>
  <c r="F1027" i="4" l="1"/>
  <c r="AD1011" i="4"/>
  <c r="AE1011" i="4" s="1"/>
  <c r="F1028" i="4"/>
  <c r="H1028" i="4" l="1"/>
  <c r="I1028" i="4" s="1"/>
  <c r="J1028" i="4" s="1"/>
  <c r="H1027" i="4"/>
  <c r="I1027" i="4" s="1"/>
  <c r="J1027" i="4" l="1"/>
  <c r="K1043" i="4"/>
  <c r="AC1028" i="4" s="1"/>
  <c r="L1027" i="4" l="1"/>
  <c r="M1027" i="4" s="1"/>
  <c r="J1036" i="4" s="1"/>
  <c r="K1042" i="4" s="1"/>
  <c r="AC1027" i="4" s="1"/>
  <c r="F1036" i="4" l="1"/>
  <c r="F1037" i="4"/>
  <c r="G1045" i="4" l="1"/>
  <c r="Y1030" i="4" s="1"/>
  <c r="G1044" i="4"/>
  <c r="Y1029" i="4" s="1"/>
  <c r="B1036" i="4"/>
  <c r="B1037" i="4"/>
  <c r="G1043" i="4"/>
  <c r="Y1028" i="4" s="1"/>
  <c r="G1042" i="4"/>
  <c r="Y1027" i="4" s="1"/>
  <c r="C1043" i="4" l="1"/>
  <c r="U1028" i="4" s="1"/>
  <c r="C1042" i="4"/>
  <c r="C1045" i="4"/>
  <c r="U1030" i="4" s="1"/>
  <c r="C1044" i="4"/>
  <c r="D1043" i="4" l="1"/>
  <c r="E1043" i="4" s="1"/>
  <c r="F1043" i="4" s="1"/>
  <c r="U1029" i="4"/>
  <c r="U1027" i="4"/>
  <c r="D1042" i="4"/>
  <c r="E1042" i="4" s="1"/>
  <c r="F1042" i="4" s="1"/>
  <c r="V1027" i="4" l="1"/>
  <c r="W1027" i="4" s="1"/>
  <c r="H1043" i="4"/>
  <c r="I1043" i="4" s="1"/>
  <c r="J1043" i="4" s="1"/>
  <c r="H1042" i="4"/>
  <c r="I1042" i="4" s="1"/>
  <c r="J1042" i="4" s="1"/>
  <c r="V1028" i="4"/>
  <c r="W1028" i="4" s="1"/>
  <c r="X1028" i="4" l="1"/>
  <c r="L1042" i="4"/>
  <c r="M1042" i="4" s="1"/>
  <c r="X1027" i="4"/>
  <c r="Z1028" i="4" l="1"/>
  <c r="AA1028" i="4" s="1"/>
  <c r="AB1028" i="4" s="1"/>
  <c r="Z1027" i="4"/>
  <c r="AA1027" i="4" s="1"/>
  <c r="AB1027" i="4" l="1"/>
  <c r="AC1043" i="4"/>
  <c r="K1059" i="4" s="1"/>
  <c r="AD1027" i="4" l="1"/>
  <c r="AE1027" i="4" s="1"/>
  <c r="AB1036" i="4" s="1"/>
  <c r="AC1042" i="4" s="1"/>
  <c r="K1058" i="4" s="1"/>
  <c r="X1036" i="4" l="1"/>
  <c r="X1037" i="4"/>
  <c r="Y1045" i="4" l="1"/>
  <c r="G1061" i="4" s="1"/>
  <c r="Y1044" i="4"/>
  <c r="G1060" i="4" s="1"/>
  <c r="T1037" i="4"/>
  <c r="T1036" i="4"/>
  <c r="Y1042" i="4"/>
  <c r="G1058" i="4" s="1"/>
  <c r="Y1043" i="4"/>
  <c r="G1059" i="4" s="1"/>
  <c r="U1043" i="4" l="1"/>
  <c r="C1059" i="4" s="1"/>
  <c r="U1042" i="4"/>
  <c r="U1045" i="4"/>
  <c r="C1061" i="4" s="1"/>
  <c r="U1044" i="4"/>
  <c r="V1042" i="4" l="1"/>
  <c r="W1042" i="4" s="1"/>
  <c r="X1042" i="4" s="1"/>
  <c r="C1058" i="4"/>
  <c r="C1060" i="4"/>
  <c r="V1043" i="4"/>
  <c r="W1043" i="4" s="1"/>
  <c r="X1043" i="4" s="1"/>
  <c r="D1058" i="4" l="1"/>
  <c r="E1058" i="4" s="1"/>
  <c r="D1059" i="4"/>
  <c r="E1059" i="4" s="1"/>
  <c r="Z1042" i="4"/>
  <c r="AA1042" i="4" s="1"/>
  <c r="AB1042" i="4" s="1"/>
  <c r="Z1043" i="4"/>
  <c r="AA1043" i="4" s="1"/>
  <c r="AB1043" i="4" s="1"/>
  <c r="F1059" i="4" l="1"/>
  <c r="AD1042" i="4"/>
  <c r="AE1042" i="4" s="1"/>
  <c r="F1058" i="4"/>
  <c r="H1058" i="4" l="1"/>
  <c r="I1058" i="4" s="1"/>
  <c r="H1059" i="4"/>
  <c r="I1059" i="4" s="1"/>
  <c r="J1059" i="4" s="1"/>
  <c r="K1074" i="4" l="1"/>
  <c r="AC1059" i="4" s="1"/>
  <c r="J1058" i="4"/>
  <c r="L1058" i="4" l="1"/>
  <c r="M1058" i="4" s="1"/>
  <c r="J1067" i="4" s="1"/>
  <c r="K1073" i="4" s="1"/>
  <c r="AC1058" i="4" s="1"/>
  <c r="F1068" i="4" l="1"/>
  <c r="F1067" i="4"/>
  <c r="B1068" i="4" l="1"/>
  <c r="B1067" i="4"/>
  <c r="G1074" i="4"/>
  <c r="Y1059" i="4" s="1"/>
  <c r="G1073" i="4"/>
  <c r="Y1058" i="4" s="1"/>
  <c r="G1075" i="4"/>
  <c r="Y1060" i="4" s="1"/>
  <c r="G1076" i="4"/>
  <c r="Y1061" i="4" s="1"/>
  <c r="C1074" i="4" l="1"/>
  <c r="U1059" i="4" s="1"/>
  <c r="C1073" i="4"/>
  <c r="C1076" i="4"/>
  <c r="U1061" i="4" s="1"/>
  <c r="C1075" i="4"/>
  <c r="D1074" i="4" l="1"/>
  <c r="E1074" i="4" s="1"/>
  <c r="F1074" i="4" s="1"/>
  <c r="U1060" i="4"/>
  <c r="D1073" i="4"/>
  <c r="E1073" i="4" s="1"/>
  <c r="F1073" i="4" s="1"/>
  <c r="U1058" i="4"/>
  <c r="H1074" i="4" l="1"/>
  <c r="I1074" i="4" s="1"/>
  <c r="J1074" i="4" s="1"/>
  <c r="H1073" i="4"/>
  <c r="I1073" i="4" s="1"/>
  <c r="J1073" i="4" s="1"/>
  <c r="L1073" i="4" s="1"/>
  <c r="M1073" i="4" s="1"/>
  <c r="V1058" i="4"/>
  <c r="W1058" i="4" s="1"/>
  <c r="V1059" i="4"/>
  <c r="W1059" i="4" s="1"/>
  <c r="X1059" i="4" l="1"/>
  <c r="X1058" i="4"/>
  <c r="Z1059" i="4" l="1"/>
  <c r="AA1059" i="4" s="1"/>
  <c r="AB1059" i="4" s="1"/>
  <c r="Z1058" i="4"/>
  <c r="AA1058" i="4" s="1"/>
  <c r="AB1058" i="4" l="1"/>
  <c r="AC1074" i="4"/>
  <c r="K1090" i="4" s="1"/>
  <c r="AD1058" i="4" l="1"/>
  <c r="AE1058" i="4" s="1"/>
  <c r="AB1067" i="4" s="1"/>
  <c r="AC1073" i="4" s="1"/>
  <c r="K1089" i="4" s="1"/>
  <c r="X1067" i="4" l="1"/>
  <c r="X1068" i="4"/>
  <c r="T1068" i="4" l="1"/>
  <c r="T1067" i="4"/>
  <c r="Y1074" i="4"/>
  <c r="G1090" i="4" s="1"/>
  <c r="Y1073" i="4"/>
  <c r="G1089" i="4" s="1"/>
  <c r="Y1076" i="4"/>
  <c r="G1092" i="4" s="1"/>
  <c r="Y1075" i="4"/>
  <c r="G1091" i="4" s="1"/>
  <c r="U1074" i="4" l="1"/>
  <c r="C1090" i="4" s="1"/>
  <c r="U1073" i="4"/>
  <c r="U1076" i="4"/>
  <c r="C1092" i="4" s="1"/>
  <c r="U1075" i="4"/>
  <c r="C1089" i="4" l="1"/>
  <c r="V1073" i="4"/>
  <c r="W1073" i="4" s="1"/>
  <c r="X1073" i="4" s="1"/>
  <c r="V1074" i="4"/>
  <c r="W1074" i="4" s="1"/>
  <c r="X1074" i="4" s="1"/>
  <c r="C1091" i="4"/>
  <c r="D1090" i="4" l="1"/>
  <c r="E1090" i="4" s="1"/>
  <c r="Z1073" i="4"/>
  <c r="AA1073" i="4" s="1"/>
  <c r="AB1073" i="4" s="1"/>
  <c r="Z1074" i="4"/>
  <c r="AA1074" i="4" s="1"/>
  <c r="AB1074" i="4" s="1"/>
  <c r="D1089" i="4"/>
  <c r="E1089" i="4" s="1"/>
  <c r="AD1073" i="4" l="1"/>
  <c r="AE1073" i="4" s="1"/>
  <c r="F1089" i="4"/>
  <c r="F1090" i="4"/>
  <c r="H1090" i="4" l="1"/>
  <c r="I1090" i="4" s="1"/>
  <c r="J1090" i="4" s="1"/>
  <c r="H1089" i="4"/>
  <c r="I1089" i="4" s="1"/>
  <c r="J1089" i="4" l="1"/>
  <c r="K1105" i="4"/>
  <c r="AC1090" i="4" s="1"/>
  <c r="L1089" i="4" l="1"/>
  <c r="M1089" i="4" s="1"/>
  <c r="J1098" i="4" s="1"/>
  <c r="K1104" i="4" s="1"/>
  <c r="AC1089" i="4" s="1"/>
  <c r="F1098" i="4" l="1"/>
  <c r="F1099" i="4"/>
  <c r="G1107" i="4" l="1"/>
  <c r="Y1092" i="4" s="1"/>
  <c r="G1106" i="4"/>
  <c r="Y1091" i="4" s="1"/>
  <c r="B1098" i="4"/>
  <c r="B1099" i="4"/>
  <c r="G1105" i="4"/>
  <c r="Y1090" i="4" s="1"/>
  <c r="G1104" i="4"/>
  <c r="Y1089" i="4" s="1"/>
  <c r="C1105" i="4" l="1"/>
  <c r="U1090" i="4" s="1"/>
  <c r="C1104" i="4"/>
  <c r="C1107" i="4"/>
  <c r="U1092" i="4" s="1"/>
  <c r="C1106" i="4"/>
  <c r="D1105" i="4" l="1"/>
  <c r="E1105" i="4" s="1"/>
  <c r="F1105" i="4" s="1"/>
  <c r="U1091" i="4"/>
  <c r="U1089" i="4"/>
  <c r="D1104" i="4"/>
  <c r="E1104" i="4" s="1"/>
  <c r="F1104" i="4" s="1"/>
  <c r="H1105" i="4" l="1"/>
  <c r="I1105" i="4" s="1"/>
  <c r="J1105" i="4" s="1"/>
  <c r="H1104" i="4"/>
  <c r="I1104" i="4" s="1"/>
  <c r="J1104" i="4" s="1"/>
  <c r="L1104" i="4" s="1"/>
  <c r="M1104" i="4" s="1"/>
  <c r="V1089" i="4"/>
  <c r="W1089" i="4" s="1"/>
  <c r="V1090" i="4"/>
  <c r="W1090" i="4" s="1"/>
  <c r="X1090" i="4" l="1"/>
  <c r="X1089" i="4"/>
  <c r="Z1089" i="4" l="1"/>
  <c r="AA1089" i="4" s="1"/>
  <c r="Z1090" i="4"/>
  <c r="AA1090" i="4" s="1"/>
  <c r="AB1090" i="4" s="1"/>
  <c r="AC1105" i="4" l="1"/>
  <c r="K1121" i="4" s="1"/>
  <c r="AB1089" i="4"/>
  <c r="AD1089" i="4" l="1"/>
  <c r="AE1089" i="4" s="1"/>
  <c r="AB1098" i="4" s="1"/>
  <c r="AC1104" i="4" s="1"/>
  <c r="K1120" i="4" s="1"/>
  <c r="X1099" i="4" l="1"/>
  <c r="X1098" i="4"/>
  <c r="Y1106" i="4" l="1"/>
  <c r="G1122" i="4" s="1"/>
  <c r="Y1107" i="4"/>
  <c r="G1123" i="4" s="1"/>
  <c r="T1099" i="4"/>
  <c r="T1098" i="4"/>
  <c r="Y1105" i="4"/>
  <c r="G1121" i="4" s="1"/>
  <c r="Y1104" i="4"/>
  <c r="G1120" i="4" s="1"/>
  <c r="U1105" i="4" l="1"/>
  <c r="C1121" i="4" s="1"/>
  <c r="U1104" i="4"/>
  <c r="U1107" i="4"/>
  <c r="C1123" i="4" s="1"/>
  <c r="U1106" i="4"/>
  <c r="C1122" i="4" l="1"/>
  <c r="V1105" i="4"/>
  <c r="W1105" i="4" s="1"/>
  <c r="X1105" i="4" s="1"/>
  <c r="C1120" i="4"/>
  <c r="V1104" i="4"/>
  <c r="W1104" i="4" s="1"/>
  <c r="X1104" i="4" s="1"/>
  <c r="D1120" i="4" l="1"/>
  <c r="E1120" i="4" s="1"/>
  <c r="Z1104" i="4"/>
  <c r="AA1104" i="4" s="1"/>
  <c r="AB1104" i="4" s="1"/>
  <c r="Z1105" i="4"/>
  <c r="AA1105" i="4" s="1"/>
  <c r="AB1105" i="4" s="1"/>
  <c r="D1121" i="4"/>
  <c r="E1121" i="4" s="1"/>
  <c r="AD1104" i="4" l="1"/>
  <c r="AE1104" i="4" s="1"/>
  <c r="F1121" i="4"/>
  <c r="F1120" i="4"/>
  <c r="H1121" i="4" l="1"/>
  <c r="I1121" i="4" s="1"/>
  <c r="J1121" i="4" s="1"/>
  <c r="H1120" i="4"/>
  <c r="I1120" i="4" s="1"/>
  <c r="J1120" i="4" l="1"/>
  <c r="K1136" i="4"/>
  <c r="AC1121" i="4" s="1"/>
  <c r="L1120" i="4" l="1"/>
  <c r="M1120" i="4" s="1"/>
  <c r="J1129" i="4" s="1"/>
  <c r="K1135" i="4" s="1"/>
  <c r="AC1120" i="4" s="1"/>
  <c r="F1129" i="4" l="1"/>
  <c r="F1130" i="4"/>
  <c r="G1137" i="4" l="1"/>
  <c r="Y1122" i="4" s="1"/>
  <c r="G1138" i="4"/>
  <c r="Y1123" i="4" s="1"/>
  <c r="B1130" i="4"/>
  <c r="B1129" i="4"/>
  <c r="G1135" i="4"/>
  <c r="Y1120" i="4" s="1"/>
  <c r="G1136" i="4"/>
  <c r="Y1121" i="4" s="1"/>
  <c r="C1138" i="4" l="1"/>
  <c r="U1123" i="4" s="1"/>
  <c r="C1137" i="4"/>
  <c r="C1136" i="4"/>
  <c r="U1121" i="4" s="1"/>
  <c r="C1135" i="4"/>
  <c r="D1135" i="4" l="1"/>
  <c r="E1135" i="4" s="1"/>
  <c r="F1135" i="4" s="1"/>
  <c r="U1120" i="4"/>
  <c r="U1122" i="4"/>
  <c r="D1136" i="4"/>
  <c r="E1136" i="4" s="1"/>
  <c r="F1136" i="4" s="1"/>
  <c r="V1121" i="4" l="1"/>
  <c r="W1121" i="4" s="1"/>
  <c r="V1120" i="4"/>
  <c r="W1120" i="4" s="1"/>
  <c r="H1135" i="4"/>
  <c r="I1135" i="4" s="1"/>
  <c r="J1135" i="4" s="1"/>
  <c r="H1136" i="4"/>
  <c r="I1136" i="4" s="1"/>
  <c r="J1136" i="4" s="1"/>
  <c r="X1120" i="4" l="1"/>
  <c r="L1135" i="4"/>
  <c r="M1135" i="4" s="1"/>
  <c r="X1121" i="4"/>
  <c r="Z1120" i="4" l="1"/>
  <c r="AA1120" i="4" s="1"/>
  <c r="Z1121" i="4"/>
  <c r="AA1121" i="4" s="1"/>
  <c r="AB1121" i="4" s="1"/>
  <c r="AB1120" i="4" l="1"/>
  <c r="AC1136" i="4"/>
  <c r="K1152" i="4" s="1"/>
  <c r="AD1120" i="4" l="1"/>
  <c r="AE1120" i="4" s="1"/>
  <c r="AB1129" i="4" s="1"/>
  <c r="AC1135" i="4" s="1"/>
  <c r="K1151" i="4" s="1"/>
  <c r="X1129" i="4" l="1"/>
  <c r="X1130" i="4"/>
  <c r="Y1138" i="4" l="1"/>
  <c r="G1154" i="4" s="1"/>
  <c r="Y1137" i="4"/>
  <c r="G1153" i="4" s="1"/>
  <c r="T1129" i="4"/>
  <c r="T1130" i="4"/>
  <c r="Y1136" i="4"/>
  <c r="G1152" i="4" s="1"/>
  <c r="Y1135" i="4"/>
  <c r="G1151" i="4" s="1"/>
  <c r="U1136" i="4" l="1"/>
  <c r="C1152" i="4" s="1"/>
  <c r="U1135" i="4"/>
  <c r="U1138" i="4"/>
  <c r="C1154" i="4" s="1"/>
  <c r="U1137" i="4"/>
  <c r="C1153" i="4" l="1"/>
  <c r="V1136" i="4"/>
  <c r="W1136" i="4" s="1"/>
  <c r="X1136" i="4" s="1"/>
  <c r="C1151" i="4"/>
  <c r="V1135" i="4"/>
  <c r="W1135" i="4" s="1"/>
  <c r="X1135" i="4" s="1"/>
  <c r="Z1136" i="4" l="1"/>
  <c r="AA1136" i="4" s="1"/>
  <c r="AB1136" i="4" s="1"/>
  <c r="Z1135" i="4"/>
  <c r="AA1135" i="4" s="1"/>
  <c r="AB1135" i="4" s="1"/>
  <c r="D1151" i="4"/>
  <c r="E1151" i="4" s="1"/>
  <c r="D1152" i="4"/>
  <c r="E1152" i="4" s="1"/>
  <c r="AD1135" i="4" l="1"/>
  <c r="AE1135" i="4" s="1"/>
  <c r="F1151" i="4"/>
  <c r="F1152" i="4"/>
  <c r="H1151" i="4" l="1"/>
  <c r="I1151" i="4" s="1"/>
  <c r="H1152" i="4"/>
  <c r="I1152" i="4" s="1"/>
  <c r="J1152" i="4" s="1"/>
  <c r="K1167" i="4" l="1"/>
  <c r="AC1152" i="4" s="1"/>
  <c r="J1151" i="4"/>
  <c r="L1151" i="4" l="1"/>
  <c r="M1151" i="4" s="1"/>
  <c r="J1160" i="4" s="1"/>
  <c r="K1166" i="4" s="1"/>
  <c r="AC1151" i="4" s="1"/>
  <c r="F1161" i="4" l="1"/>
  <c r="F1160" i="4"/>
  <c r="B1160" i="4" l="1"/>
  <c r="B1161" i="4"/>
  <c r="G1167" i="4"/>
  <c r="Y1152" i="4" s="1"/>
  <c r="G1166" i="4"/>
  <c r="Y1151" i="4" s="1"/>
  <c r="G1169" i="4"/>
  <c r="Y1154" i="4" s="1"/>
  <c r="G1168" i="4"/>
  <c r="Y1153" i="4" s="1"/>
  <c r="C1169" i="4" l="1"/>
  <c r="U1154" i="4" s="1"/>
  <c r="C1168" i="4"/>
  <c r="C1167" i="4"/>
  <c r="U1152" i="4" s="1"/>
  <c r="C1166" i="4"/>
  <c r="D1166" i="4" l="1"/>
  <c r="E1166" i="4" s="1"/>
  <c r="F1166" i="4" s="1"/>
  <c r="U1151" i="4"/>
  <c r="U1153" i="4"/>
  <c r="D1167" i="4"/>
  <c r="E1167" i="4" s="1"/>
  <c r="F1167" i="4" s="1"/>
  <c r="V1152" i="4" l="1"/>
  <c r="W1152" i="4" s="1"/>
  <c r="V1151" i="4"/>
  <c r="W1151" i="4" s="1"/>
  <c r="H1167" i="4"/>
  <c r="I1167" i="4" s="1"/>
  <c r="J1167" i="4" s="1"/>
  <c r="H1166" i="4"/>
  <c r="I1166" i="4" s="1"/>
  <c r="J1166" i="4" s="1"/>
  <c r="L1166" i="4" l="1"/>
  <c r="M1166" i="4" s="1"/>
  <c r="Q18" i="4" s="1"/>
  <c r="R18" i="4" s="1"/>
  <c r="X1152" i="4"/>
  <c r="X1151" i="4"/>
  <c r="Z1151" i="4" l="1"/>
  <c r="AA1151" i="4" s="1"/>
  <c r="Z1152" i="4"/>
  <c r="AA1152" i="4" s="1"/>
  <c r="AB1152" i="4" s="1"/>
  <c r="AC1167" i="4" l="1"/>
  <c r="AB1151" i="4"/>
  <c r="AD1151" i="4" l="1"/>
  <c r="AE1151" i="4" s="1"/>
  <c r="AB1160" i="4" s="1"/>
  <c r="AC1166" i="4" s="1"/>
  <c r="X1161" i="4" l="1"/>
  <c r="X1160" i="4"/>
  <c r="T1161" i="4" l="1"/>
  <c r="T1160" i="4"/>
  <c r="Y1166" i="4"/>
  <c r="Y1167" i="4"/>
  <c r="Y1169" i="4"/>
  <c r="Y1168" i="4"/>
  <c r="U1167" i="4" l="1"/>
  <c r="U1166" i="4"/>
  <c r="U1169" i="4"/>
  <c r="U1168" i="4"/>
  <c r="V1167" i="4" s="1"/>
  <c r="W1167" i="4" s="1"/>
  <c r="X1167" i="4" s="1"/>
  <c r="V1166" i="4" l="1"/>
  <c r="W1166" i="4" s="1"/>
  <c r="X1166" i="4" s="1"/>
  <c r="Z1167" i="4" s="1"/>
  <c r="AA1167" i="4" s="1"/>
  <c r="AB1167" i="4" s="1"/>
  <c r="Z1166" i="4" l="1"/>
  <c r="AA1166" i="4" s="1"/>
  <c r="AB1166" i="4" s="1"/>
  <c r="AD1166" i="4" s="1"/>
  <c r="Q19" i="4" s="1"/>
  <c r="R19" i="4" s="1"/>
  <c r="F14" i="1"/>
  <c r="G22" i="1" s="1"/>
  <c r="K20" i="1"/>
  <c r="F13" i="1"/>
  <c r="B13" i="1" l="1"/>
  <c r="G21" i="1"/>
  <c r="G19" i="1"/>
  <c r="B14" i="1"/>
  <c r="G20" i="1"/>
  <c r="C20" i="1" l="1"/>
  <c r="E19" i="1"/>
  <c r="F19" i="1" s="1"/>
  <c r="V4" i="1"/>
  <c r="W4" i="1" s="1"/>
  <c r="C22" i="1"/>
  <c r="D20" i="1" l="1"/>
  <c r="E20" i="1" s="1"/>
  <c r="F20" i="1" s="1"/>
  <c r="X4" i="1"/>
  <c r="V5" i="1" l="1"/>
  <c r="W5" i="1" s="1"/>
  <c r="H19" i="1"/>
  <c r="I19" i="1" s="1"/>
  <c r="J19" i="1" s="1"/>
  <c r="H20" i="1"/>
  <c r="I20" i="1" s="1"/>
  <c r="J20" i="1" s="1"/>
  <c r="L19" i="1" l="1"/>
  <c r="M19" i="1" s="1"/>
  <c r="X5" i="1"/>
  <c r="Z5" i="1" l="1"/>
  <c r="AA5" i="1" s="1"/>
  <c r="AB5" i="1" s="1"/>
  <c r="Z4" i="1"/>
  <c r="AA4" i="1" s="1"/>
  <c r="AB4" i="1" l="1"/>
  <c r="AD4" i="1" l="1"/>
  <c r="AE4" i="1" s="1"/>
  <c r="R6" i="1" l="1"/>
  <c r="Q7" i="1" s="1"/>
  <c r="X13" i="1" l="1"/>
  <c r="X14" i="1"/>
  <c r="Y35" i="1" l="1"/>
  <c r="T13" i="1"/>
  <c r="Y32" i="1"/>
  <c r="T14" i="1"/>
  <c r="Y33" i="1"/>
  <c r="V33" i="1" l="1"/>
  <c r="W33" i="1" s="1"/>
  <c r="X33" i="1" s="1"/>
  <c r="V32" i="1"/>
  <c r="W32" i="1" s="1"/>
  <c r="X32" i="1" s="1"/>
  <c r="Z32" i="1" l="1"/>
  <c r="AA32" i="1" s="1"/>
  <c r="AB32" i="1" s="1"/>
  <c r="Z33" i="1"/>
  <c r="AA33" i="1" s="1"/>
  <c r="AB33" i="1" s="1"/>
  <c r="AD32" i="1" l="1"/>
  <c r="AE32" i="1" s="1"/>
  <c r="Q18" i="1" l="1"/>
  <c r="R18" i="1" s="1"/>
  <c r="Q19" i="1" l="1"/>
  <c r="R19" i="1" s="1"/>
</calcChain>
</file>

<file path=xl/sharedStrings.xml><?xml version="1.0" encoding="utf-8"?>
<sst xmlns="http://schemas.openxmlformats.org/spreadsheetml/2006/main" count="3106" uniqueCount="13">
  <si>
    <t>Valeur entree</t>
  </si>
  <si>
    <t>Weight</t>
  </si>
  <si>
    <t>Output =/= sig</t>
  </si>
  <si>
    <t>Output sig</t>
  </si>
  <si>
    <t>Couche 1</t>
  </si>
  <si>
    <t>Couche 2</t>
  </si>
  <si>
    <t>Couche 3</t>
  </si>
  <si>
    <t>Calcul de delta</t>
  </si>
  <si>
    <t>Target</t>
  </si>
  <si>
    <t>Delta learing</t>
  </si>
  <si>
    <t>Erreur</t>
  </si>
  <si>
    <t>Output</t>
  </si>
  <si>
    <t>Erreur moy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</si>
</sst>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95506-E669-4183-B8A1-AA9896718DE9}">
  <dimension ref="A1:AT1173"/>
  <sheetViews>
    <sheetView tabSelected="1" topLeftCell="A40" zoomScale="55" zoomScaleNormal="55" workbookViewId="0">
      <selection activeCell="M4" sqref="M4"/>
    </sheetView>
  </sheetViews>
  <sheetFormatPr baseColWidth="10" defaultColWidth="13" defaultRowHeight="14.4" x14ac:dyDescent="0.3"/>
  <cols>
    <col min="1" max="16384" width="13" style="1"/>
  </cols>
  <sheetData>
    <row r="1" spans="1:46" x14ac:dyDescent="0.3">
      <c r="B1" s="8" t="s">
        <v>4</v>
      </c>
      <c r="C1" s="8"/>
      <c r="D1" s="8"/>
      <c r="E1" s="8"/>
      <c r="F1" s="8" t="s">
        <v>5</v>
      </c>
      <c r="G1" s="8"/>
      <c r="H1" s="8"/>
      <c r="I1" s="8"/>
      <c r="J1" s="8" t="s">
        <v>6</v>
      </c>
      <c r="K1" s="8"/>
      <c r="L1" s="8"/>
      <c r="M1" s="8"/>
      <c r="T1" s="8" t="s">
        <v>4</v>
      </c>
      <c r="U1" s="8"/>
      <c r="V1" s="8"/>
      <c r="W1" s="8"/>
      <c r="X1" s="8" t="s">
        <v>5</v>
      </c>
      <c r="Y1" s="8"/>
      <c r="Z1" s="8"/>
      <c r="AA1" s="8"/>
      <c r="AB1" s="8" t="s">
        <v>6</v>
      </c>
      <c r="AC1" s="8"/>
      <c r="AD1" s="8"/>
      <c r="AE1" s="8"/>
      <c r="AI1" s="8" t="s">
        <v>4</v>
      </c>
      <c r="AJ1" s="8"/>
      <c r="AK1" s="8"/>
      <c r="AL1" s="8"/>
      <c r="AM1" s="8" t="s">
        <v>5</v>
      </c>
      <c r="AN1" s="8"/>
      <c r="AO1" s="8"/>
      <c r="AP1" s="8"/>
      <c r="AQ1" s="8" t="s">
        <v>6</v>
      </c>
      <c r="AR1" s="8"/>
      <c r="AS1" s="8"/>
      <c r="AT1" s="8"/>
    </row>
    <row r="2" spans="1:46" x14ac:dyDescent="0.3"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O2" s="2" t="s">
        <v>12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</row>
    <row r="3" spans="1:46" x14ac:dyDescent="0.3">
      <c r="B3" s="3" t="s">
        <v>0</v>
      </c>
      <c r="C3" s="3" t="s">
        <v>1</v>
      </c>
      <c r="D3" s="3" t="s">
        <v>2</v>
      </c>
      <c r="E3" s="3" t="s">
        <v>3</v>
      </c>
      <c r="F3" s="3" t="s">
        <v>0</v>
      </c>
      <c r="G3" s="3" t="s">
        <v>1</v>
      </c>
      <c r="H3" s="3" t="s">
        <v>2</v>
      </c>
      <c r="I3" s="3" t="s">
        <v>3</v>
      </c>
      <c r="J3" s="3" t="s">
        <v>0</v>
      </c>
      <c r="K3" s="3" t="s">
        <v>1</v>
      </c>
      <c r="L3" s="3" t="s">
        <v>2</v>
      </c>
      <c r="M3" s="3" t="s">
        <v>3</v>
      </c>
      <c r="O3" s="3">
        <f>(M4-$P$18)+(AE4-$P$19)</f>
        <v>0.18800507686243817</v>
      </c>
      <c r="P3" s="3"/>
      <c r="T3" s="3" t="s">
        <v>0</v>
      </c>
      <c r="U3" s="3" t="s">
        <v>1</v>
      </c>
      <c r="V3" s="3" t="s">
        <v>2</v>
      </c>
      <c r="W3" s="3" t="s">
        <v>3</v>
      </c>
      <c r="X3" s="3" t="s">
        <v>0</v>
      </c>
      <c r="Y3" s="3" t="s">
        <v>1</v>
      </c>
      <c r="Z3" s="3" t="s">
        <v>2</v>
      </c>
      <c r="AA3" s="3" t="s">
        <v>3</v>
      </c>
      <c r="AB3" s="3" t="s">
        <v>0</v>
      </c>
      <c r="AC3" s="3" t="s">
        <v>1</v>
      </c>
      <c r="AD3" s="3" t="s">
        <v>2</v>
      </c>
      <c r="AE3" s="3" t="s">
        <v>3</v>
      </c>
      <c r="AI3" s="3" t="s">
        <v>0</v>
      </c>
      <c r="AJ3" s="3" t="s">
        <v>1</v>
      </c>
      <c r="AK3" s="3" t="s">
        <v>2</v>
      </c>
      <c r="AL3" s="3" t="s">
        <v>3</v>
      </c>
      <c r="AM3" s="3" t="s">
        <v>0</v>
      </c>
      <c r="AN3" s="3" t="s">
        <v>1</v>
      </c>
      <c r="AO3" s="3" t="s">
        <v>2</v>
      </c>
      <c r="AP3" s="3" t="s">
        <v>3</v>
      </c>
      <c r="AQ3" s="3" t="s">
        <v>0</v>
      </c>
      <c r="AR3" s="3" t="s">
        <v>1</v>
      </c>
      <c r="AS3" s="3" t="s">
        <v>2</v>
      </c>
      <c r="AT3" s="3" t="s">
        <v>3</v>
      </c>
    </row>
    <row r="4" spans="1:46" x14ac:dyDescent="0.3">
      <c r="B4" s="3">
        <f>$O$18</f>
        <v>0.1</v>
      </c>
      <c r="C4" s="3">
        <v>0.1</v>
      </c>
      <c r="D4" s="3">
        <f>B4*C4+B5*C5</f>
        <v>3.0000000000000006E-2</v>
      </c>
      <c r="E4" s="3">
        <f>1/(1+EXP(-D4))</f>
        <v>0.50749943755062032</v>
      </c>
      <c r="F4" s="3">
        <f>E4</f>
        <v>0.50749943755062032</v>
      </c>
      <c r="G4" s="3">
        <v>0.1</v>
      </c>
      <c r="H4" s="3">
        <f>F4*G4+F5*G5</f>
        <v>0.15424851528833999</v>
      </c>
      <c r="I4" s="3">
        <f>1/(1+EXP(-H4))</f>
        <v>0.53848585250828462</v>
      </c>
      <c r="J4" s="3">
        <f>I4</f>
        <v>0.53848585250828462</v>
      </c>
      <c r="K4" s="3">
        <v>0.1</v>
      </c>
      <c r="L4" s="3">
        <f>J4*K4+J5*K5</f>
        <v>0.17162021236371297</v>
      </c>
      <c r="M4" s="3">
        <f>1/(1+EXP(-L4))</f>
        <v>0.54280005368464279</v>
      </c>
      <c r="T4" s="3">
        <f>$O$19</f>
        <v>0.2</v>
      </c>
      <c r="U4" s="3">
        <f>C19</f>
        <v>0.10000607172094321</v>
      </c>
      <c r="V4" s="3">
        <f>T4*U4+T5*U5</f>
        <v>6.0002428688377282E-2</v>
      </c>
      <c r="W4" s="3">
        <f>1/(1+EXP(-V4))</f>
        <v>0.51499610824535513</v>
      </c>
      <c r="X4" s="3">
        <f>W4</f>
        <v>0.51499610824535513</v>
      </c>
      <c r="Y4" s="3">
        <f>G19</f>
        <v>0.10018010395602925</v>
      </c>
      <c r="Z4" s="3">
        <f>X4*Y4+X5*Y5</f>
        <v>0.15867936809326527</v>
      </c>
      <c r="AA4" s="3">
        <f>1/(1+EXP(-Z4))</f>
        <v>0.53958681336111392</v>
      </c>
      <c r="AB4" s="3">
        <f>AA4</f>
        <v>0.53958681336111392</v>
      </c>
      <c r="AC4" s="3">
        <f>K19</f>
        <v>0.10768958086466038</v>
      </c>
      <c r="AD4" s="3">
        <f>AB4*AC4+AB5*AC5</f>
        <v>0.18131519622951126</v>
      </c>
      <c r="AE4" s="3">
        <f>1/(1+EXP(-AD4))</f>
        <v>0.5452050231777954</v>
      </c>
      <c r="AI4" s="3">
        <f>$O$18</f>
        <v>0.1</v>
      </c>
      <c r="AJ4" s="3">
        <v>0.1</v>
      </c>
      <c r="AK4" s="3">
        <f>AI4*AJ4+AI5*AJ5</f>
        <v>3.0000000000000006E-2</v>
      </c>
      <c r="AL4" s="3">
        <f>1/(1+EXP(-AK4))</f>
        <v>0.50749943755062032</v>
      </c>
      <c r="AM4" s="3">
        <f>AL4</f>
        <v>0.50749943755062032</v>
      </c>
      <c r="AN4" s="3">
        <v>0.1</v>
      </c>
      <c r="AO4" s="3">
        <f>AM4*AN4+AM5*AN5</f>
        <v>0.15424851528833999</v>
      </c>
      <c r="AP4" s="3">
        <f>1/(1+EXP(-AO4))</f>
        <v>0.53848585250828462</v>
      </c>
      <c r="AQ4" s="3">
        <f>AP4</f>
        <v>0.53848585250828462</v>
      </c>
      <c r="AR4" s="3">
        <v>0.1</v>
      </c>
      <c r="AS4" s="3">
        <f>AQ4*AR4+AQ5*AR5</f>
        <v>0.17162021236371297</v>
      </c>
      <c r="AT4" s="3">
        <f>1/(1+EXP(-AS4))</f>
        <v>0.54280005368464279</v>
      </c>
    </row>
    <row r="5" spans="1:46" x14ac:dyDescent="0.3">
      <c r="B5" s="3">
        <f t="shared" ref="B5:B11" si="0">$O$18</f>
        <v>0.1</v>
      </c>
      <c r="C5" s="3">
        <v>0.2</v>
      </c>
      <c r="D5" s="3">
        <f>B4*C6+B5*C7</f>
        <v>7.0000000000000007E-2</v>
      </c>
      <c r="E5" s="3">
        <f>1/(1+EXP(-D5))</f>
        <v>0.51749285766638975</v>
      </c>
      <c r="F5" s="3">
        <f>E5</f>
        <v>0.51749285766638975</v>
      </c>
      <c r="G5" s="3">
        <v>0.2</v>
      </c>
      <c r="H5" s="3">
        <f>F4*G6+F5*G7</f>
        <v>0.35924697433174202</v>
      </c>
      <c r="I5" s="3">
        <f>1/(1+EXP(-H5))</f>
        <v>0.58885813556442246</v>
      </c>
      <c r="J5" s="3">
        <f>I5</f>
        <v>0.58885813556442246</v>
      </c>
      <c r="K5" s="3">
        <v>0.2</v>
      </c>
      <c r="L5" s="3"/>
      <c r="M5" s="3"/>
      <c r="T5" s="3">
        <f>$O$19</f>
        <v>0.2</v>
      </c>
      <c r="U5" s="3">
        <f t="shared" ref="U5:U7" si="1">C20</f>
        <v>0.2000060717209432</v>
      </c>
      <c r="V5" s="3">
        <f>T4*U6+T5*U7</f>
        <v>0.14000347131575624</v>
      </c>
      <c r="W5" s="3">
        <f>1/(1+EXP(-V5))</f>
        <v>0.53494380874853953</v>
      </c>
      <c r="X5" s="3">
        <f>W5</f>
        <v>0.53494380874853953</v>
      </c>
      <c r="Y5" s="3">
        <f t="shared" ref="Y5:Y7" si="2">G20</f>
        <v>0.20018365047128411</v>
      </c>
      <c r="Z5" s="3">
        <f>X4*Y6+X5*Y7</f>
        <v>0.36884848730565079</v>
      </c>
      <c r="AA5" s="3">
        <f>1/(1+EXP(-Z5))</f>
        <v>0.5911807030927958</v>
      </c>
      <c r="AB5" s="3">
        <f>AA5</f>
        <v>0.5911807030927958</v>
      </c>
      <c r="AC5" s="3">
        <f>K20</f>
        <v>0.20840889733712384</v>
      </c>
      <c r="AD5" s="3"/>
      <c r="AE5" s="3"/>
      <c r="AI5" s="3">
        <f t="shared" ref="AI5:AI11" si="3">$O$18</f>
        <v>0.1</v>
      </c>
      <c r="AJ5" s="3">
        <v>0.2</v>
      </c>
      <c r="AK5" s="3">
        <f>AI4*AJ6+AI5*AJ7</f>
        <v>7.0000000000000007E-2</v>
      </c>
      <c r="AL5" s="3">
        <f>1/(1+EXP(-AK5))</f>
        <v>0.51749285766638975</v>
      </c>
      <c r="AM5" s="3">
        <f>AL5</f>
        <v>0.51749285766638975</v>
      </c>
      <c r="AN5" s="3">
        <v>0.2</v>
      </c>
      <c r="AO5" s="3">
        <f>AM4*AN6+AM5*AN7</f>
        <v>0.35924697433174202</v>
      </c>
      <c r="AP5" s="3">
        <f>1/(1+EXP(-AO5))</f>
        <v>0.58885813556442246</v>
      </c>
      <c r="AQ5" s="3">
        <f>AP5</f>
        <v>0.58885813556442246</v>
      </c>
      <c r="AR5" s="3">
        <v>0.2</v>
      </c>
      <c r="AS5" s="3"/>
      <c r="AT5" s="3"/>
    </row>
    <row r="6" spans="1:46" x14ac:dyDescent="0.3">
      <c r="B6" s="3">
        <f t="shared" si="0"/>
        <v>0.1</v>
      </c>
      <c r="C6" s="3">
        <v>0.3</v>
      </c>
      <c r="D6" s="3"/>
      <c r="E6" s="3"/>
      <c r="F6" s="3"/>
      <c r="G6" s="3">
        <v>0.3</v>
      </c>
      <c r="H6" s="3"/>
      <c r="I6" s="3"/>
      <c r="J6" s="3"/>
      <c r="K6" s="3"/>
      <c r="L6" s="3"/>
      <c r="M6" s="3"/>
      <c r="O6" s="2" t="s">
        <v>9</v>
      </c>
      <c r="T6" s="3">
        <f t="shared" ref="T6:T11" si="4">$O$19</f>
        <v>0.2</v>
      </c>
      <c r="U6" s="3">
        <f t="shared" si="1"/>
        <v>0.30000867828939054</v>
      </c>
      <c r="V6" s="3"/>
      <c r="W6" s="3"/>
      <c r="X6" s="3"/>
      <c r="Y6" s="3">
        <f t="shared" si="2"/>
        <v>0.30035091045859119</v>
      </c>
      <c r="Z6" s="3"/>
      <c r="AA6" s="3"/>
      <c r="AB6" s="3"/>
      <c r="AC6" s="3"/>
      <c r="AD6" s="3"/>
      <c r="AE6" s="3"/>
      <c r="AI6" s="3">
        <f t="shared" si="3"/>
        <v>0.1</v>
      </c>
      <c r="AJ6" s="3">
        <v>0.3</v>
      </c>
      <c r="AK6" s="3"/>
      <c r="AL6" s="3"/>
      <c r="AM6" s="3"/>
      <c r="AN6" s="3">
        <v>0.3</v>
      </c>
      <c r="AO6" s="3"/>
      <c r="AP6" s="3"/>
      <c r="AQ6" s="3"/>
      <c r="AR6" s="3"/>
      <c r="AS6" s="3"/>
      <c r="AT6" s="3"/>
    </row>
    <row r="7" spans="1:46" x14ac:dyDescent="0.3">
      <c r="B7" s="3">
        <f t="shared" si="0"/>
        <v>0.1</v>
      </c>
      <c r="C7" s="3">
        <v>0.4</v>
      </c>
      <c r="D7" s="3"/>
      <c r="E7" s="3"/>
      <c r="F7" s="3"/>
      <c r="G7" s="3">
        <v>0.4</v>
      </c>
      <c r="H7" s="3"/>
      <c r="I7" s="3"/>
      <c r="J7" s="3"/>
      <c r="K7" s="3"/>
      <c r="L7" s="3"/>
      <c r="M7" s="3"/>
      <c r="O7" s="3">
        <v>0.1</v>
      </c>
      <c r="T7" s="3">
        <f t="shared" si="4"/>
        <v>0.2</v>
      </c>
      <c r="U7" s="3">
        <f t="shared" si="1"/>
        <v>0.40000867828939057</v>
      </c>
      <c r="V7" s="3"/>
      <c r="W7" s="3"/>
      <c r="X7" s="3"/>
      <c r="Y7" s="3">
        <f t="shared" si="2"/>
        <v>0.40035782040838869</v>
      </c>
      <c r="Z7" s="3"/>
      <c r="AA7" s="3"/>
      <c r="AB7" s="3"/>
      <c r="AC7" s="3"/>
      <c r="AD7" s="3"/>
      <c r="AE7" s="3"/>
      <c r="AI7" s="3">
        <f t="shared" si="3"/>
        <v>0.1</v>
      </c>
      <c r="AJ7" s="3">
        <v>0.4</v>
      </c>
      <c r="AK7" s="3"/>
      <c r="AL7" s="3"/>
      <c r="AM7" s="3"/>
      <c r="AN7" s="3">
        <v>0.4</v>
      </c>
      <c r="AO7" s="3"/>
      <c r="AP7" s="3"/>
      <c r="AQ7" s="3"/>
      <c r="AR7" s="3"/>
      <c r="AS7" s="3"/>
      <c r="AT7" s="3"/>
    </row>
    <row r="8" spans="1:46" x14ac:dyDescent="0.3">
      <c r="B8" s="3">
        <f t="shared" si="0"/>
        <v>0.1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T8" s="3">
        <f>$O$19</f>
        <v>0.2</v>
      </c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I8" s="3">
        <f t="shared" si="3"/>
        <v>0.1</v>
      </c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x14ac:dyDescent="0.3">
      <c r="B9" s="3">
        <f t="shared" si="0"/>
        <v>0.1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T9" s="3">
        <f t="shared" si="4"/>
        <v>0.2</v>
      </c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I9" s="3">
        <f t="shared" si="3"/>
        <v>0.1</v>
      </c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</row>
    <row r="10" spans="1:46" x14ac:dyDescent="0.3">
      <c r="B10" s="3">
        <f t="shared" si="0"/>
        <v>0.1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T10" s="3">
        <f t="shared" si="4"/>
        <v>0.2</v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I10" s="3">
        <f t="shared" si="3"/>
        <v>0.1</v>
      </c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</row>
    <row r="11" spans="1:46" x14ac:dyDescent="0.3">
      <c r="B11" s="3">
        <f t="shared" si="0"/>
        <v>0.1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T11" s="3">
        <f t="shared" si="4"/>
        <v>0.2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I11" s="3">
        <f t="shared" si="3"/>
        <v>0.1</v>
      </c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</row>
    <row r="13" spans="1:46" x14ac:dyDescent="0.3">
      <c r="A13" s="4" t="s">
        <v>7</v>
      </c>
      <c r="B13" s="5">
        <f>E4 * (1 - E4) * (G4 * F13 + G6 * F14)</f>
        <v>6.0717209432036728E-4</v>
      </c>
      <c r="C13" s="6"/>
      <c r="D13" s="6"/>
      <c r="E13" s="7"/>
      <c r="F13" s="5">
        <f>I4 * (1 - I4) * K4 *J13</f>
        <v>3.5488503573223372E-3</v>
      </c>
      <c r="G13" s="6"/>
      <c r="H13" s="6"/>
      <c r="I13" s="7"/>
      <c r="J13" s="5">
        <f>M4-$P$18</f>
        <v>0.14280005368464277</v>
      </c>
      <c r="K13" s="6"/>
      <c r="L13" s="6"/>
      <c r="M13" s="7"/>
      <c r="S13" s="4" t="s">
        <v>7</v>
      </c>
      <c r="T13" s="5">
        <f>W4 * (1 - W4) * (Y4 * X13 + Y6 * X14)</f>
        <v>-2.0107981114850701E-4</v>
      </c>
      <c r="U13" s="6"/>
      <c r="V13" s="6"/>
      <c r="W13" s="7"/>
      <c r="X13" s="5">
        <f>AA4 * (1 - AA4) * AC4 *AB13</f>
        <v>-1.2093986076914677E-3</v>
      </c>
      <c r="Y13" s="6"/>
      <c r="Z13" s="6"/>
      <c r="AA13" s="7"/>
      <c r="AB13" s="5">
        <f>$P$19 - AE4</f>
        <v>-4.52050231777954E-2</v>
      </c>
      <c r="AC13" s="6"/>
      <c r="AD13" s="6"/>
      <c r="AE13" s="7"/>
      <c r="AH13" s="4" t="s">
        <v>7</v>
      </c>
      <c r="AI13" s="5">
        <f>AL4 * (1 - AL4) * (AN4 * AM13 + AN6 * AM14)</f>
        <v>-6.0717209432036728E-4</v>
      </c>
      <c r="AJ13" s="6"/>
      <c r="AK13" s="6"/>
      <c r="AL13" s="7"/>
      <c r="AM13" s="5">
        <f>AP4 * (1 - AP4) * AR4 *AQ13</f>
        <v>-3.5488503573223372E-3</v>
      </c>
      <c r="AN13" s="6"/>
      <c r="AO13" s="6"/>
      <c r="AP13" s="7"/>
      <c r="AQ13" s="5">
        <f>$P$18 - AT4</f>
        <v>-0.14280005368464277</v>
      </c>
      <c r="AR13" s="6"/>
      <c r="AS13" s="6"/>
      <c r="AT13" s="7"/>
    </row>
    <row r="14" spans="1:46" x14ac:dyDescent="0.3">
      <c r="B14" s="5">
        <f>E5 * (1 - E5) * (G5 * F13 + G7 * F14)</f>
        <v>8.6782893905608751E-4</v>
      </c>
      <c r="C14" s="6"/>
      <c r="D14" s="6"/>
      <c r="E14" s="7"/>
      <c r="F14" s="5">
        <f>J5 * (1 - J5) * K5 * J13</f>
        <v>6.9144994580648995E-3</v>
      </c>
      <c r="G14" s="6"/>
      <c r="H14" s="6"/>
      <c r="I14" s="7"/>
      <c r="T14" s="5">
        <f>W5 * (1 - W5) * (Y5 * X13 + Y7 * X14)</f>
        <v>-2.8701596951434722E-4</v>
      </c>
      <c r="U14" s="6"/>
      <c r="V14" s="6"/>
      <c r="W14" s="7"/>
      <c r="X14" s="5">
        <f>AB5 * (1 - AB5) * AC5 * AB13</f>
        <v>-2.2769557397345685E-3</v>
      </c>
      <c r="Y14" s="6"/>
      <c r="Z14" s="6"/>
      <c r="AA14" s="7"/>
      <c r="AI14" s="5">
        <f>AL5 * (1 - AL5) * (AN5 * AM13 + AN7 * AM14)</f>
        <v>-8.6782893905608751E-4</v>
      </c>
      <c r="AJ14" s="6"/>
      <c r="AK14" s="6"/>
      <c r="AL14" s="7"/>
      <c r="AM14" s="5">
        <f>AQ5 * (1 - AQ5) * AR5 * AQ13</f>
        <v>-6.9144994580648995E-3</v>
      </c>
      <c r="AN14" s="6"/>
      <c r="AO14" s="6"/>
      <c r="AP14" s="7"/>
    </row>
    <row r="16" spans="1:46" x14ac:dyDescent="0.3">
      <c r="B16" s="8" t="s">
        <v>4</v>
      </c>
      <c r="C16" s="8"/>
      <c r="D16" s="8"/>
      <c r="E16" s="8"/>
      <c r="F16" s="8" t="s">
        <v>5</v>
      </c>
      <c r="G16" s="8"/>
      <c r="H16" s="8"/>
      <c r="I16" s="8"/>
      <c r="J16" s="8" t="s">
        <v>6</v>
      </c>
      <c r="K16" s="8"/>
      <c r="L16" s="8"/>
      <c r="M16" s="8"/>
      <c r="T16" s="8" t="s">
        <v>4</v>
      </c>
      <c r="U16" s="8"/>
      <c r="V16" s="8"/>
      <c r="W16" s="8"/>
      <c r="X16" s="8" t="s">
        <v>5</v>
      </c>
      <c r="Y16" s="8"/>
      <c r="Z16" s="8"/>
      <c r="AA16" s="8"/>
      <c r="AB16" s="8" t="s">
        <v>6</v>
      </c>
      <c r="AC16" s="8"/>
      <c r="AD16" s="8"/>
      <c r="AE16" s="8"/>
      <c r="AI16" s="8" t="s">
        <v>4</v>
      </c>
      <c r="AJ16" s="8"/>
      <c r="AK16" s="8"/>
      <c r="AL16" s="8"/>
      <c r="AM16" s="8" t="s">
        <v>5</v>
      </c>
      <c r="AN16" s="8"/>
      <c r="AO16" s="8"/>
      <c r="AP16" s="8"/>
      <c r="AQ16" s="8" t="s">
        <v>6</v>
      </c>
      <c r="AR16" s="8"/>
      <c r="AS16" s="8"/>
      <c r="AT16" s="8"/>
    </row>
    <row r="17" spans="2:46" x14ac:dyDescent="0.3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O17" s="2" t="s">
        <v>0</v>
      </c>
      <c r="P17" s="2" t="s">
        <v>8</v>
      </c>
      <c r="Q17" s="2" t="s">
        <v>11</v>
      </c>
      <c r="R17" s="2" t="s">
        <v>10</v>
      </c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</row>
    <row r="18" spans="2:46" x14ac:dyDescent="0.3">
      <c r="B18" s="3" t="s">
        <v>0</v>
      </c>
      <c r="C18" s="3" t="s">
        <v>1</v>
      </c>
      <c r="D18" s="3" t="s">
        <v>2</v>
      </c>
      <c r="E18" s="3" t="s">
        <v>3</v>
      </c>
      <c r="F18" s="3" t="s">
        <v>0</v>
      </c>
      <c r="G18" s="3" t="s">
        <v>1</v>
      </c>
      <c r="H18" s="3" t="s">
        <v>2</v>
      </c>
      <c r="I18" s="3" t="s">
        <v>3</v>
      </c>
      <c r="J18" s="3" t="s">
        <v>0</v>
      </c>
      <c r="K18" s="3" t="s">
        <v>1</v>
      </c>
      <c r="L18" s="3" t="s">
        <v>2</v>
      </c>
      <c r="M18" s="3" t="s">
        <v>3</v>
      </c>
      <c r="O18" s="3">
        <v>0.1</v>
      </c>
      <c r="P18" s="3">
        <v>0.4</v>
      </c>
      <c r="Q18" s="3">
        <f>M1166</f>
        <v>0.46248179927144673</v>
      </c>
      <c r="R18" s="3">
        <f>P18-Q18</f>
        <v>-6.2481799271446703E-2</v>
      </c>
      <c r="T18" s="3" t="s">
        <v>0</v>
      </c>
      <c r="U18" s="3" t="s">
        <v>1</v>
      </c>
      <c r="V18" s="3" t="s">
        <v>2</v>
      </c>
      <c r="W18" s="3" t="s">
        <v>3</v>
      </c>
      <c r="X18" s="3" t="s">
        <v>0</v>
      </c>
      <c r="Y18" s="3" t="s">
        <v>1</v>
      </c>
      <c r="Z18" s="3" t="s">
        <v>2</v>
      </c>
      <c r="AA18" s="3" t="s">
        <v>3</v>
      </c>
      <c r="AB18" s="3" t="s">
        <v>0</v>
      </c>
      <c r="AC18" s="3" t="s">
        <v>1</v>
      </c>
      <c r="AD18" s="3" t="s">
        <v>2</v>
      </c>
      <c r="AE18" s="3" t="s">
        <v>3</v>
      </c>
      <c r="AI18" s="3" t="s">
        <v>0</v>
      </c>
      <c r="AJ18" s="3" t="s">
        <v>1</v>
      </c>
      <c r="AK18" s="3" t="s">
        <v>2</v>
      </c>
      <c r="AL18" s="3" t="s">
        <v>3</v>
      </c>
      <c r="AM18" s="3" t="s">
        <v>0</v>
      </c>
      <c r="AN18" s="3" t="s">
        <v>1</v>
      </c>
      <c r="AO18" s="3" t="s">
        <v>2</v>
      </c>
      <c r="AP18" s="3" t="s">
        <v>3</v>
      </c>
      <c r="AQ18" s="3" t="s">
        <v>0</v>
      </c>
      <c r="AR18" s="3" t="s">
        <v>1</v>
      </c>
      <c r="AS18" s="3" t="s">
        <v>2</v>
      </c>
      <c r="AT18" s="3" t="s">
        <v>3</v>
      </c>
    </row>
    <row r="19" spans="2:46" x14ac:dyDescent="0.3">
      <c r="B19" s="3">
        <f>$B$4</f>
        <v>0.1</v>
      </c>
      <c r="C19" s="3">
        <f>C4 + $O$7 * B4 * B13</f>
        <v>0.10000607172094321</v>
      </c>
      <c r="D19" s="3">
        <f>B19*C19+B20*C20</f>
        <v>3.0001214344188641E-2</v>
      </c>
      <c r="E19" s="3">
        <f>1/(1+EXP(-D19))</f>
        <v>0.50749974106836815</v>
      </c>
      <c r="F19" s="3">
        <f>E19</f>
        <v>0.50749974106836815</v>
      </c>
      <c r="G19" s="3">
        <f>G4 + $O$7 * F4 * F13</f>
        <v>0.10018010395602925</v>
      </c>
      <c r="H19" s="3">
        <f>F19*G19+F20*G20</f>
        <v>0.15443507291462163</v>
      </c>
      <c r="I19" s="3">
        <f>1/(1+EXP(-H19))</f>
        <v>0.53853221525999295</v>
      </c>
      <c r="J19" s="3">
        <f>I19</f>
        <v>0.53853221525999295</v>
      </c>
      <c r="K19" s="3">
        <f>K4 + $O$7 * J4 * J13</f>
        <v>0.10768958086466038</v>
      </c>
      <c r="L19" s="3">
        <f>J19*K19+J20*K20</f>
        <v>0.18073592473491584</v>
      </c>
      <c r="M19" s="3">
        <f>1/(1+EXP(-L19))</f>
        <v>0.54506138528475723</v>
      </c>
      <c r="O19" s="3">
        <v>0.2</v>
      </c>
      <c r="P19" s="3">
        <v>0.5</v>
      </c>
      <c r="Q19" s="3">
        <f>AE1166</f>
        <v>0.46383529592303335</v>
      </c>
      <c r="R19" s="3">
        <f>P19-Q19</f>
        <v>3.6164704076966647E-2</v>
      </c>
      <c r="T19" s="3">
        <f>$O$19</f>
        <v>0.2</v>
      </c>
      <c r="U19" s="3">
        <f>U4 + $O$7 * T4 * T13</f>
        <v>0.10000205012472024</v>
      </c>
      <c r="V19" s="3">
        <f>T19*U19+T20*U20</f>
        <v>6.0000820049888097E-2</v>
      </c>
      <c r="W19" s="3">
        <f>1/(1+EXP(-V19))</f>
        <v>0.51499570644747894</v>
      </c>
      <c r="X19" s="3">
        <f>W19</f>
        <v>0.51499570644747894</v>
      </c>
      <c r="Y19" s="3">
        <f>Y4 + $O$7 * X4 * X13</f>
        <v>0.10011782039840141</v>
      </c>
      <c r="Z19" s="3">
        <f>X19*Y19+X20*Y20</f>
        <v>0.15861252902218595</v>
      </c>
      <c r="AA19" s="3">
        <f>1/(1+EXP(-Z19))</f>
        <v>0.53957020829397795</v>
      </c>
      <c r="AB19" s="3">
        <f>AA19</f>
        <v>0.53957020829397795</v>
      </c>
      <c r="AC19" s="3">
        <f>AC4 + $P$19 * AB4 * AB13</f>
        <v>9.5493563662449418E-2</v>
      </c>
      <c r="AD19" s="3">
        <f>AB19*AC19+AB20*AC20</f>
        <v>0.17472645903000139</v>
      </c>
      <c r="AE19" s="3">
        <f>1/(1+EXP(-AD19))</f>
        <v>0.5435708220985479</v>
      </c>
      <c r="AI19" s="3">
        <f>$B$4</f>
        <v>0.1</v>
      </c>
      <c r="AJ19" s="3">
        <f>AJ4 + $O$7 * AI4 * AI13</f>
        <v>9.9993928279056801E-2</v>
      </c>
      <c r="AK19" s="3">
        <f>AI19*AJ19+AI20*AJ20</f>
        <v>2.9998785655811364E-2</v>
      </c>
      <c r="AL19" s="3">
        <f>1/(1+EXP(-AK19))</f>
        <v>0.50749913403286706</v>
      </c>
      <c r="AM19" s="3">
        <f>AL19</f>
        <v>0.50749913403286706</v>
      </c>
      <c r="AN19" s="3">
        <f>AN4 + $O$7 * AM4 * AM13</f>
        <v>9.9819896043970763E-2</v>
      </c>
      <c r="AO19" s="3">
        <f>AM19*AN19+AM20*AN20</f>
        <v>0.15406195793056415</v>
      </c>
      <c r="AP19" s="3">
        <f>1/(1+EXP(-AO19))</f>
        <v>0.53843948915754802</v>
      </c>
      <c r="AQ19" s="3">
        <f>AP19</f>
        <v>0.53843948915754802</v>
      </c>
      <c r="AR19" s="3">
        <f>AR4 + $O$7 * AQ4 * AQ13</f>
        <v>9.2310419135339633E-2</v>
      </c>
      <c r="AS19" s="3">
        <f>AQ19*AR19+AQ20*AR20</f>
        <v>0.16250669197836434</v>
      </c>
      <c r="AT19" s="3">
        <f>1/(1+EXP(-AS19))</f>
        <v>0.54053750127197686</v>
      </c>
    </row>
    <row r="20" spans="2:46" x14ac:dyDescent="0.3">
      <c r="B20" s="3">
        <f>$B$5</f>
        <v>0.1</v>
      </c>
      <c r="C20" s="3">
        <f>C5 + $O$7 * B5 * B13</f>
        <v>0.2000060717209432</v>
      </c>
      <c r="D20" s="3">
        <f>B19*C21+B20*C22</f>
        <v>7.0001735657878122E-2</v>
      </c>
      <c r="E20" s="3">
        <f>1/(1+EXP(-D20))</f>
        <v>0.51749329104973463</v>
      </c>
      <c r="F20" s="3">
        <f>E20</f>
        <v>0.51749329104973463</v>
      </c>
      <c r="G20" s="3">
        <f>G5 + $O$7 * F5 * F13</f>
        <v>0.20018365047128411</v>
      </c>
      <c r="H20" s="3">
        <f>F19*G21+F20*G22</f>
        <v>0.35961049536801931</v>
      </c>
      <c r="I20" s="3">
        <f>1/(1+EXP(-H20))</f>
        <v>0.58894614270187495</v>
      </c>
      <c r="J20" s="3">
        <f>I20</f>
        <v>0.58894614270187495</v>
      </c>
      <c r="K20" s="3">
        <f>K5 + $O$7* J5 * J13</f>
        <v>0.20840889733712384</v>
      </c>
      <c r="L20" s="3"/>
      <c r="M20" s="3"/>
      <c r="O20" s="3"/>
      <c r="P20" s="3"/>
      <c r="Q20" s="3"/>
      <c r="R20" s="3"/>
      <c r="T20" s="3">
        <f t="shared" ref="T20:T26" si="5">$O$19</f>
        <v>0.2</v>
      </c>
      <c r="U20" s="3">
        <f>U5 + $O$7 * T5 * T13</f>
        <v>0.20000205012472022</v>
      </c>
      <c r="V20" s="3">
        <f>T19*U21+T20*U22</f>
        <v>0.14000117518800012</v>
      </c>
      <c r="W20" s="3">
        <f>1/(1+EXP(-V20))</f>
        <v>0.53494323752028694</v>
      </c>
      <c r="X20" s="3">
        <f>W20</f>
        <v>0.53494323752028694</v>
      </c>
      <c r="Y20" s="3">
        <f>Y5 + $O$7 * X5 * X13</f>
        <v>0.20011895444153474</v>
      </c>
      <c r="Z20" s="3">
        <f>X19*Y21+X20*Y22</f>
        <v>0.36872258992413209</v>
      </c>
      <c r="AA20" s="3">
        <f>1/(1+EXP(-Z20))</f>
        <v>0.59115027509899676</v>
      </c>
      <c r="AB20" s="3">
        <f>AA20</f>
        <v>0.59115027509899676</v>
      </c>
      <c r="AC20" s="3">
        <f>AC5 + $P$19 * AB5 * AB14</f>
        <v>0.20840889733712384</v>
      </c>
      <c r="AD20" s="3"/>
      <c r="AE20" s="3"/>
      <c r="AI20" s="3">
        <f>$B$5</f>
        <v>0.1</v>
      </c>
      <c r="AJ20" s="3">
        <f>AJ5 + $O$7 * AI5 * AI13</f>
        <v>0.19999392827905682</v>
      </c>
      <c r="AK20" s="3">
        <f>AI19*AJ21+AI20*AJ22</f>
        <v>6.9998264342121891E-2</v>
      </c>
      <c r="AL20" s="3">
        <f>1/(1+EXP(-AK20))</f>
        <v>0.51749242428301845</v>
      </c>
      <c r="AM20" s="3">
        <f>AL20</f>
        <v>0.51749242428301845</v>
      </c>
      <c r="AN20" s="3">
        <f>AN5 + $O$7 * AM5 * AM13</f>
        <v>0.19981634952871591</v>
      </c>
      <c r="AO20" s="3">
        <f>AM19*AN21+AM20*AN22</f>
        <v>0.35888345381861442</v>
      </c>
      <c r="AP20" s="3">
        <f>1/(1+EXP(-AO20))</f>
        <v>0.58877012286787322</v>
      </c>
      <c r="AQ20" s="3">
        <f>AP20</f>
        <v>0.58877012286787322</v>
      </c>
      <c r="AR20" s="3">
        <f>AR5 + $O$7* AQ5 * AQ13</f>
        <v>0.19159110266287618</v>
      </c>
      <c r="AS20" s="3"/>
      <c r="AT20" s="3"/>
    </row>
    <row r="21" spans="2:46" x14ac:dyDescent="0.3">
      <c r="B21" s="3">
        <f>$B$6</f>
        <v>0.1</v>
      </c>
      <c r="C21" s="3">
        <f>C6 + $O$7 * B4 * B14</f>
        <v>0.30000867828939054</v>
      </c>
      <c r="D21" s="3"/>
      <c r="E21" s="3"/>
      <c r="F21" s="3"/>
      <c r="G21" s="3">
        <f>G6 + $O$7 * F4 * F14</f>
        <v>0.30035091045859119</v>
      </c>
      <c r="H21" s="3"/>
      <c r="I21" s="3"/>
      <c r="J21" s="3"/>
      <c r="K21" s="3"/>
      <c r="L21" s="3"/>
      <c r="M21" s="3"/>
      <c r="O21" s="3"/>
      <c r="P21" s="3"/>
      <c r="Q21" s="3"/>
      <c r="R21" s="3"/>
      <c r="T21" s="3">
        <f t="shared" si="5"/>
        <v>0.2</v>
      </c>
      <c r="U21" s="3">
        <f>U6 + $O$7 * T4 * T14</f>
        <v>0.30000293797000027</v>
      </c>
      <c r="V21" s="3"/>
      <c r="W21" s="3"/>
      <c r="X21" s="3"/>
      <c r="Y21" s="3">
        <f>Y6 + $O$7 * X4 * X14</f>
        <v>0.30023364812413017</v>
      </c>
      <c r="Z21" s="3"/>
      <c r="AA21" s="3"/>
      <c r="AB21" s="3"/>
      <c r="AC21" s="3"/>
      <c r="AD21" s="3"/>
      <c r="AE21" s="3"/>
      <c r="AI21" s="3">
        <f>$B$6</f>
        <v>0.1</v>
      </c>
      <c r="AJ21" s="3">
        <f>AJ6 + $O$7 * AI4 * AI14</f>
        <v>0.29999132171060944</v>
      </c>
      <c r="AK21" s="3"/>
      <c r="AL21" s="3"/>
      <c r="AM21" s="3"/>
      <c r="AN21" s="3">
        <f>AN6 + $O$7 * AM4 * AM14</f>
        <v>0.29964908954140879</v>
      </c>
      <c r="AO21" s="3"/>
      <c r="AP21" s="3"/>
      <c r="AQ21" s="3"/>
      <c r="AR21" s="3"/>
      <c r="AS21" s="3"/>
      <c r="AT21" s="3"/>
    </row>
    <row r="22" spans="2:46" x14ac:dyDescent="0.3">
      <c r="B22" s="3">
        <f>$B$7</f>
        <v>0.1</v>
      </c>
      <c r="C22" s="3">
        <f>C7 + $O$7 * B5* B14</f>
        <v>0.40000867828939057</v>
      </c>
      <c r="D22" s="3"/>
      <c r="E22" s="3"/>
      <c r="F22" s="3"/>
      <c r="G22" s="3">
        <f>G7 + $O$7 * F5* F14</f>
        <v>0.40035782040838869</v>
      </c>
      <c r="H22" s="3"/>
      <c r="I22" s="3"/>
      <c r="J22" s="3"/>
      <c r="K22" s="3"/>
      <c r="L22" s="3"/>
      <c r="M22" s="3"/>
      <c r="O22" s="3"/>
      <c r="P22" s="3"/>
      <c r="Q22" s="3"/>
      <c r="R22" s="3"/>
      <c r="T22" s="3">
        <f t="shared" si="5"/>
        <v>0.2</v>
      </c>
      <c r="U22" s="3">
        <f>U7 + $O$7 * T5* T14</f>
        <v>0.40000293797000031</v>
      </c>
      <c r="V22" s="3"/>
      <c r="W22" s="3"/>
      <c r="X22" s="3"/>
      <c r="Y22" s="3">
        <f>Y7 + $O$7 * X5* X14</f>
        <v>0.40023601607081216</v>
      </c>
      <c r="Z22" s="3"/>
      <c r="AA22" s="3"/>
      <c r="AB22" s="3"/>
      <c r="AC22" s="3"/>
      <c r="AD22" s="3"/>
      <c r="AE22" s="3"/>
      <c r="AI22" s="3">
        <f>$B$7</f>
        <v>0.1</v>
      </c>
      <c r="AJ22" s="3">
        <f>AJ7 + $O$7 * AI5* AI14</f>
        <v>0.39999132171060947</v>
      </c>
      <c r="AK22" s="3"/>
      <c r="AL22" s="3"/>
      <c r="AM22" s="3"/>
      <c r="AN22" s="3">
        <f>AN7 + $O$7 * AM5* AM14</f>
        <v>0.39964217959161136</v>
      </c>
      <c r="AO22" s="3"/>
      <c r="AP22" s="3"/>
      <c r="AQ22" s="3"/>
      <c r="AR22" s="3"/>
      <c r="AS22" s="3"/>
      <c r="AT22" s="3"/>
    </row>
    <row r="23" spans="2:46" x14ac:dyDescent="0.3">
      <c r="B23" s="3">
        <f>$B$8</f>
        <v>0.1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O23" s="3"/>
      <c r="P23" s="3"/>
      <c r="Q23" s="3"/>
      <c r="R23" s="3"/>
      <c r="T23" s="3">
        <f t="shared" si="5"/>
        <v>0.2</v>
      </c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I23" s="3">
        <f>$B$8</f>
        <v>0.1</v>
      </c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</row>
    <row r="24" spans="2:46" x14ac:dyDescent="0.3">
      <c r="B24" s="3">
        <f>$B$9</f>
        <v>0.1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O24" s="3"/>
      <c r="P24" s="3"/>
      <c r="Q24" s="3"/>
      <c r="R24" s="3"/>
      <c r="T24" s="3">
        <f t="shared" si="5"/>
        <v>0.2</v>
      </c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I24" s="3">
        <f>$B$9</f>
        <v>0.1</v>
      </c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</row>
    <row r="25" spans="2:46" x14ac:dyDescent="0.3">
      <c r="B25" s="3">
        <f>$B$10</f>
        <v>0.1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O25" s="3"/>
      <c r="P25" s="3"/>
      <c r="Q25" s="3"/>
      <c r="R25" s="3"/>
      <c r="T25" s="3">
        <f t="shared" si="5"/>
        <v>0.2</v>
      </c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I25" s="3">
        <f>$B$10</f>
        <v>0.1</v>
      </c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 spans="2:46" x14ac:dyDescent="0.3">
      <c r="B26" s="3">
        <f>$B$11</f>
        <v>0.1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O26" s="3"/>
      <c r="P26" s="3"/>
      <c r="Q26" s="3"/>
      <c r="R26" s="3"/>
      <c r="T26" s="3">
        <f t="shared" si="5"/>
        <v>0.2</v>
      </c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I26" s="3">
        <f>$B$11</f>
        <v>0.1</v>
      </c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</row>
    <row r="29" spans="2:46" x14ac:dyDescent="0.3">
      <c r="AI29" s="8" t="s">
        <v>4</v>
      </c>
      <c r="AJ29" s="8"/>
      <c r="AK29" s="8"/>
      <c r="AL29" s="8"/>
      <c r="AM29" s="8" t="s">
        <v>5</v>
      </c>
      <c r="AN29" s="8"/>
      <c r="AO29" s="8"/>
      <c r="AP29" s="8"/>
      <c r="AQ29" s="8" t="s">
        <v>6</v>
      </c>
      <c r="AR29" s="8"/>
      <c r="AS29" s="8"/>
      <c r="AT29" s="8"/>
    </row>
    <row r="30" spans="2:46" x14ac:dyDescent="0.3"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</row>
    <row r="31" spans="2:46" x14ac:dyDescent="0.3">
      <c r="AI31" s="3" t="s">
        <v>0</v>
      </c>
      <c r="AJ31" s="3" t="s">
        <v>1</v>
      </c>
      <c r="AK31" s="3" t="s">
        <v>2</v>
      </c>
      <c r="AL31" s="3" t="s">
        <v>3</v>
      </c>
      <c r="AM31" s="3" t="s">
        <v>0</v>
      </c>
      <c r="AN31" s="3" t="s">
        <v>1</v>
      </c>
      <c r="AO31" s="3" t="s">
        <v>2</v>
      </c>
      <c r="AP31" s="3" t="s">
        <v>3</v>
      </c>
      <c r="AQ31" s="3" t="s">
        <v>0</v>
      </c>
      <c r="AR31" s="3" t="s">
        <v>1</v>
      </c>
      <c r="AS31" s="3" t="s">
        <v>2</v>
      </c>
      <c r="AT31" s="3" t="s">
        <v>3</v>
      </c>
    </row>
    <row r="32" spans="2:46" x14ac:dyDescent="0.3">
      <c r="B32" s="8" t="s">
        <v>4</v>
      </c>
      <c r="C32" s="8"/>
      <c r="D32" s="8"/>
      <c r="E32" s="8"/>
      <c r="F32" s="8" t="s">
        <v>5</v>
      </c>
      <c r="G32" s="8"/>
      <c r="H32" s="8"/>
      <c r="I32" s="8"/>
      <c r="J32" s="8" t="s">
        <v>6</v>
      </c>
      <c r="K32" s="8"/>
      <c r="L32" s="8"/>
      <c r="M32" s="8"/>
      <c r="T32" s="9" t="s">
        <v>4</v>
      </c>
      <c r="U32" s="10"/>
      <c r="V32" s="10"/>
      <c r="W32" s="11"/>
      <c r="X32" s="9" t="s">
        <v>5</v>
      </c>
      <c r="Y32" s="10"/>
      <c r="Z32" s="10"/>
      <c r="AA32" s="11"/>
      <c r="AB32" s="9" t="s">
        <v>6</v>
      </c>
      <c r="AC32" s="10"/>
      <c r="AD32" s="10"/>
      <c r="AE32" s="11"/>
      <c r="AI32" s="3">
        <f>$O$18</f>
        <v>0.1</v>
      </c>
      <c r="AJ32" s="3">
        <f>AJ19</f>
        <v>9.9993928279056801E-2</v>
      </c>
      <c r="AK32" s="3">
        <f>AI32*AJ32+AI33*AJ33</f>
        <v>2.9998785655811364E-2</v>
      </c>
      <c r="AL32" s="3">
        <f>1/(1+EXP(-AK32))</f>
        <v>0.50749913403286706</v>
      </c>
      <c r="AM32" s="3">
        <f>AL32</f>
        <v>0.50749913403286706</v>
      </c>
      <c r="AN32" s="3">
        <f>AN19</f>
        <v>9.9819896043970763E-2</v>
      </c>
      <c r="AO32" s="3">
        <f>AM32*AN32+AM33*AN33</f>
        <v>0.15406195793056415</v>
      </c>
      <c r="AP32" s="3">
        <f>1/(1+EXP(-AO32))</f>
        <v>0.53843948915754802</v>
      </c>
      <c r="AQ32" s="3">
        <f>AP32</f>
        <v>0.53843948915754802</v>
      </c>
      <c r="AR32" s="3">
        <f>AR19</f>
        <v>9.2310419135339633E-2</v>
      </c>
      <c r="AS32" s="3">
        <f>AQ32*AR32+AQ33*AR33</f>
        <v>0.16250669197836434</v>
      </c>
      <c r="AT32" s="3">
        <f>1/(1+EXP(-AS32))</f>
        <v>0.54053750127197686</v>
      </c>
    </row>
    <row r="33" spans="1:46" x14ac:dyDescent="0.3"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O33" s="2" t="s">
        <v>12</v>
      </c>
      <c r="T33" s="12"/>
      <c r="U33" s="13"/>
      <c r="V33" s="13"/>
      <c r="W33" s="14"/>
      <c r="X33" s="12"/>
      <c r="Y33" s="13"/>
      <c r="Z33" s="13"/>
      <c r="AA33" s="14"/>
      <c r="AB33" s="12"/>
      <c r="AC33" s="13"/>
      <c r="AD33" s="13"/>
      <c r="AE33" s="14"/>
      <c r="AI33" s="3">
        <f t="shared" ref="AI33:AI39" si="6">$O$18</f>
        <v>0.1</v>
      </c>
      <c r="AJ33" s="3">
        <f t="shared" ref="AJ33:AJ35" si="7">AJ20</f>
        <v>0.19999392827905682</v>
      </c>
      <c r="AK33" s="3">
        <f>AI32*AJ34+AI33*AJ35</f>
        <v>6.9998264342121891E-2</v>
      </c>
      <c r="AL33" s="3">
        <f>1/(1+EXP(-AK33))</f>
        <v>0.51749242428301845</v>
      </c>
      <c r="AM33" s="3">
        <f>AL33</f>
        <v>0.51749242428301845</v>
      </c>
      <c r="AN33" s="3">
        <f t="shared" ref="AN33:AN35" si="8">AN20</f>
        <v>0.19981634952871591</v>
      </c>
      <c r="AO33" s="3">
        <f>AM32*AN34+AM33*AN35</f>
        <v>0.35888345381861442</v>
      </c>
      <c r="AP33" s="3">
        <f>1/(1+EXP(-AO33))</f>
        <v>0.58877012286787322</v>
      </c>
      <c r="AQ33" s="3">
        <f>AP33</f>
        <v>0.58877012286787322</v>
      </c>
      <c r="AR33" s="3">
        <f>AR20</f>
        <v>0.19159110266287618</v>
      </c>
      <c r="AS33" s="3"/>
      <c r="AT33" s="3"/>
    </row>
    <row r="34" spans="1:46" x14ac:dyDescent="0.3">
      <c r="B34" s="3" t="s">
        <v>0</v>
      </c>
      <c r="C34" s="3" t="s">
        <v>1</v>
      </c>
      <c r="D34" s="3" t="s">
        <v>2</v>
      </c>
      <c r="E34" s="3" t="s">
        <v>3</v>
      </c>
      <c r="F34" s="3" t="s">
        <v>0</v>
      </c>
      <c r="G34" s="3" t="s">
        <v>1</v>
      </c>
      <c r="H34" s="3" t="s">
        <v>2</v>
      </c>
      <c r="I34" s="3" t="s">
        <v>3</v>
      </c>
      <c r="J34" s="3" t="s">
        <v>0</v>
      </c>
      <c r="K34" s="3" t="s">
        <v>1</v>
      </c>
      <c r="L34" s="3" t="s">
        <v>2</v>
      </c>
      <c r="M34" s="3" t="s">
        <v>3</v>
      </c>
      <c r="O34" s="3">
        <f>(M35-$P$18)+(AE35-$P$19)</f>
        <v>0.18285667003651518</v>
      </c>
      <c r="T34" s="3" t="s">
        <v>0</v>
      </c>
      <c r="U34" s="3" t="s">
        <v>1</v>
      </c>
      <c r="V34" s="3" t="s">
        <v>2</v>
      </c>
      <c r="W34" s="3" t="s">
        <v>3</v>
      </c>
      <c r="X34" s="3" t="s">
        <v>0</v>
      </c>
      <c r="Y34" s="3" t="s">
        <v>1</v>
      </c>
      <c r="Z34" s="3" t="s">
        <v>2</v>
      </c>
      <c r="AA34" s="3" t="s">
        <v>3</v>
      </c>
      <c r="AB34" s="3" t="s">
        <v>0</v>
      </c>
      <c r="AC34" s="3" t="s">
        <v>1</v>
      </c>
      <c r="AD34" s="3" t="s">
        <v>2</v>
      </c>
      <c r="AE34" s="3" t="s">
        <v>3</v>
      </c>
      <c r="AI34" s="3">
        <f t="shared" si="6"/>
        <v>0.1</v>
      </c>
      <c r="AJ34" s="3">
        <f t="shared" si="7"/>
        <v>0.29999132171060944</v>
      </c>
      <c r="AK34" s="3"/>
      <c r="AL34" s="3"/>
      <c r="AM34" s="3"/>
      <c r="AN34" s="3">
        <f t="shared" si="8"/>
        <v>0.29964908954140879</v>
      </c>
      <c r="AO34" s="3"/>
      <c r="AP34" s="3"/>
      <c r="AQ34" s="3"/>
      <c r="AR34" s="3"/>
      <c r="AS34" s="3"/>
      <c r="AT34" s="3"/>
    </row>
    <row r="35" spans="1:46" x14ac:dyDescent="0.3">
      <c r="B35" s="3">
        <f>$B$4</f>
        <v>0.1</v>
      </c>
      <c r="C35" s="3">
        <f>U19</f>
        <v>0.10000205012472024</v>
      </c>
      <c r="D35" s="3">
        <f>B35*C35+B36*C36</f>
        <v>3.0000410024944048E-2</v>
      </c>
      <c r="E35" s="3">
        <f>1/(1+EXP(-D35))</f>
        <v>0.50749954003379572</v>
      </c>
      <c r="F35" s="3">
        <f>E35</f>
        <v>0.50749954003379572</v>
      </c>
      <c r="G35" s="3">
        <f>Y19</f>
        <v>0.10011782039840141</v>
      </c>
      <c r="H35" s="3">
        <f>F35*G35+F36*G36</f>
        <v>0.15436990676972651</v>
      </c>
      <c r="I35" s="3">
        <f>1/(1+EXP(-H35))</f>
        <v>0.53851602043734514</v>
      </c>
      <c r="J35" s="3">
        <f>I35</f>
        <v>0.53851602043734514</v>
      </c>
      <c r="K35" s="3">
        <f>AC19</f>
        <v>9.5493563662449418E-2</v>
      </c>
      <c r="L35" s="3">
        <f>J35*K35+J36*K36</f>
        <v>0.17416023843118073</v>
      </c>
      <c r="M35" s="3">
        <f>1/(1+EXP(-L35))</f>
        <v>0.54343033840931465</v>
      </c>
      <c r="T35" s="3">
        <f>$O$19</f>
        <v>0.2</v>
      </c>
      <c r="U35" s="3">
        <f>C50</f>
        <v>9.9995767814999859E-2</v>
      </c>
      <c r="V35" s="3">
        <f>T35*U35+T36*U36</f>
        <v>5.999830712599994E-2</v>
      </c>
      <c r="W35" s="3">
        <f>1/(1+EXP(-V35))</f>
        <v>0.51499507878156758</v>
      </c>
      <c r="X35" s="3">
        <f>W35</f>
        <v>0.51499507878156758</v>
      </c>
      <c r="Y35" s="3">
        <f>G50</f>
        <v>9.994507518049095E-2</v>
      </c>
      <c r="Z35" s="3">
        <f>X35*Y35+X36*Y36</f>
        <v>0.15842909694610813</v>
      </c>
      <c r="AA35" s="3">
        <f>1/(1+EXP(-Z35))</f>
        <v>0.53952463716250931</v>
      </c>
      <c r="AB35" s="3">
        <f>AA35</f>
        <v>0.53952463716250931</v>
      </c>
      <c r="AC35" s="3">
        <f>K50</f>
        <v>6.4597749642383101E-2</v>
      </c>
      <c r="AD35" s="3">
        <f>AB35*AC35+AB36*AC36</f>
        <v>0.15803340837561863</v>
      </c>
      <c r="AE35" s="3">
        <f>1/(1+EXP(-AD35))</f>
        <v>0.53942633162720055</v>
      </c>
      <c r="AI35" s="3">
        <f t="shared" si="6"/>
        <v>0.1</v>
      </c>
      <c r="AJ35" s="3">
        <f t="shared" si="7"/>
        <v>0.39999132171060947</v>
      </c>
      <c r="AK35" s="3"/>
      <c r="AL35" s="3"/>
      <c r="AM35" s="3"/>
      <c r="AN35" s="3">
        <f t="shared" si="8"/>
        <v>0.39964217959161136</v>
      </c>
      <c r="AO35" s="3"/>
      <c r="AP35" s="3"/>
      <c r="AQ35" s="3"/>
      <c r="AR35" s="3"/>
      <c r="AS35" s="3"/>
      <c r="AT35" s="3"/>
    </row>
    <row r="36" spans="1:46" x14ac:dyDescent="0.3">
      <c r="B36" s="3">
        <f>$B$5</f>
        <v>0.1</v>
      </c>
      <c r="C36" s="3">
        <f>U20</f>
        <v>0.20000205012472022</v>
      </c>
      <c r="D36" s="3">
        <f>B35*C37+B36*C38</f>
        <v>7.000058759400006E-2</v>
      </c>
      <c r="E36" s="3">
        <f>1/(1+EXP(-D36))</f>
        <v>0.51749300438508439</v>
      </c>
      <c r="F36" s="3">
        <f>E36</f>
        <v>0.51749300438508439</v>
      </c>
      <c r="G36" s="3">
        <f t="shared" ref="G36:G38" si="9">Y20</f>
        <v>0.20011895444153474</v>
      </c>
      <c r="H36" s="3">
        <f>F35*G37+F36*G38</f>
        <v>0.35948777674526605</v>
      </c>
      <c r="I36" s="3">
        <f>1/(1+EXP(-H36))</f>
        <v>0.58891643360005119</v>
      </c>
      <c r="J36" s="3">
        <f>I36</f>
        <v>0.58891643360005119</v>
      </c>
      <c r="K36" s="3">
        <f>AC20</f>
        <v>0.20840889733712384</v>
      </c>
      <c r="L36" s="3"/>
      <c r="M36" s="3"/>
      <c r="T36" s="3">
        <f t="shared" ref="T36:T42" si="10">$O$19</f>
        <v>0.2</v>
      </c>
      <c r="U36" s="3">
        <f t="shared" ref="U36:U38" si="11">C51</f>
        <v>0.19999576781499984</v>
      </c>
      <c r="V36" s="3">
        <f>T35*U37+T36*U38</f>
        <v>0.13999760200085995</v>
      </c>
      <c r="W36" s="3">
        <f>1/(1+EXP(-V36))</f>
        <v>0.53494234858635903</v>
      </c>
      <c r="X36" s="3">
        <f>W36</f>
        <v>0.53494234858635903</v>
      </c>
      <c r="Y36" s="3">
        <f t="shared" ref="Y36:Y38" si="12">G51</f>
        <v>0.19994280759851754</v>
      </c>
      <c r="Z36" s="3">
        <f>X35*Y37+X36*Y38</f>
        <v>0.36833257423865939</v>
      </c>
      <c r="AA36" s="3">
        <f>1/(1+EXP(-Z36))</f>
        <v>0.59105600822328708</v>
      </c>
      <c r="AB36" s="3">
        <f>AA36</f>
        <v>0.59105600822328708</v>
      </c>
      <c r="AC36" s="3">
        <f>K51</f>
        <v>0.20840889733712384</v>
      </c>
      <c r="AD36" s="3"/>
      <c r="AE36" s="3"/>
      <c r="AI36" s="3">
        <f t="shared" si="6"/>
        <v>0.1</v>
      </c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</row>
    <row r="37" spans="1:46" x14ac:dyDescent="0.3">
      <c r="B37" s="3">
        <f>$B$6</f>
        <v>0.1</v>
      </c>
      <c r="C37" s="3">
        <f t="shared" ref="C37:C38" si="13">U21</f>
        <v>0.30000293797000027</v>
      </c>
      <c r="D37" s="3"/>
      <c r="E37" s="3"/>
      <c r="F37" s="3"/>
      <c r="G37" s="3">
        <f t="shared" si="9"/>
        <v>0.30023364812413017</v>
      </c>
      <c r="H37" s="3"/>
      <c r="I37" s="3"/>
      <c r="J37" s="3"/>
      <c r="K37" s="3"/>
      <c r="L37" s="3"/>
      <c r="M37" s="3"/>
      <c r="T37" s="3">
        <f t="shared" si="10"/>
        <v>0.2</v>
      </c>
      <c r="U37" s="3">
        <f t="shared" si="11"/>
        <v>0.29999400500214984</v>
      </c>
      <c r="V37" s="3"/>
      <c r="W37" s="3"/>
      <c r="X37" s="3"/>
      <c r="Y37" s="3">
        <f t="shared" si="12"/>
        <v>0.29986638551021072</v>
      </c>
      <c r="Z37" s="3"/>
      <c r="AA37" s="3"/>
      <c r="AB37" s="3"/>
      <c r="AC37" s="3"/>
      <c r="AD37" s="3"/>
      <c r="AE37" s="3"/>
      <c r="AI37" s="3">
        <f t="shared" si="6"/>
        <v>0.1</v>
      </c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</row>
    <row r="38" spans="1:46" x14ac:dyDescent="0.3">
      <c r="B38" s="3">
        <f>$B$7</f>
        <v>0.1</v>
      </c>
      <c r="C38" s="3">
        <f t="shared" si="13"/>
        <v>0.40000293797000031</v>
      </c>
      <c r="D38" s="3"/>
      <c r="E38" s="3"/>
      <c r="F38" s="3"/>
      <c r="G38" s="3">
        <f t="shared" si="9"/>
        <v>0.40023601607081216</v>
      </c>
      <c r="H38" s="3"/>
      <c r="I38" s="3"/>
      <c r="J38" s="3"/>
      <c r="K38" s="3"/>
      <c r="L38" s="3"/>
      <c r="M38" s="3"/>
      <c r="T38" s="3">
        <f t="shared" si="10"/>
        <v>0.2</v>
      </c>
      <c r="U38" s="3">
        <f t="shared" si="11"/>
        <v>0.39999400500214988</v>
      </c>
      <c r="V38" s="3"/>
      <c r="W38" s="3"/>
      <c r="X38" s="3"/>
      <c r="Y38" s="3">
        <f t="shared" si="12"/>
        <v>0.39986152147824</v>
      </c>
      <c r="Z38" s="3"/>
      <c r="AA38" s="3"/>
      <c r="AB38" s="3"/>
      <c r="AC38" s="3"/>
      <c r="AD38" s="3"/>
      <c r="AE38" s="3"/>
      <c r="AI38" s="3">
        <f t="shared" si="6"/>
        <v>0.1</v>
      </c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</row>
    <row r="39" spans="1:46" x14ac:dyDescent="0.3">
      <c r="B39" s="3">
        <f>$B$8</f>
        <v>0.1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T39" s="3">
        <f t="shared" si="10"/>
        <v>0.2</v>
      </c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I39" s="3">
        <f t="shared" si="6"/>
        <v>0.1</v>
      </c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</row>
    <row r="40" spans="1:46" x14ac:dyDescent="0.3">
      <c r="B40" s="3">
        <f>$B$9</f>
        <v>0.1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T40" s="3">
        <f t="shared" si="10"/>
        <v>0.2</v>
      </c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46" x14ac:dyDescent="0.3">
      <c r="B41" s="3">
        <f>$B$10</f>
        <v>0.1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T41" s="3">
        <f t="shared" si="10"/>
        <v>0.2</v>
      </c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H41" s="4" t="s">
        <v>7</v>
      </c>
      <c r="AI41" s="5">
        <f>AL32 * (1 - AL32) * (AN32 * AM41 + AN34 * AM42)</f>
        <v>-5.6870160192273997E-4</v>
      </c>
      <c r="AJ41" s="6"/>
      <c r="AK41" s="6"/>
      <c r="AL41" s="7"/>
      <c r="AM41" s="5">
        <f>AP32 * (1 - AP32) * AR32 *AQ41</f>
        <v>-3.2240999686871255E-3</v>
      </c>
      <c r="AN41" s="6"/>
      <c r="AO41" s="6"/>
      <c r="AP41" s="7"/>
      <c r="AQ41" s="5">
        <f>$P$18 - AT32</f>
        <v>-0.14053750127197684</v>
      </c>
      <c r="AR41" s="6"/>
      <c r="AS41" s="6"/>
      <c r="AT41" s="7"/>
    </row>
    <row r="42" spans="1:46" x14ac:dyDescent="0.3">
      <c r="B42" s="3">
        <f>$B$11</f>
        <v>0.1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T42" s="3">
        <f t="shared" si="10"/>
        <v>0.2</v>
      </c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I42" s="5">
        <f>AL33 * (1 - AL33) * (AN33 * AM41 + AN35 * AM42)</f>
        <v>-8.1140499227254088E-4</v>
      </c>
      <c r="AJ42" s="6"/>
      <c r="AK42" s="6"/>
      <c r="AL42" s="7"/>
      <c r="AM42" s="5">
        <f>AQ33 * (1 - AQ33) * AR33 * AQ41</f>
        <v>-6.5192552907796554E-3</v>
      </c>
      <c r="AN42" s="6"/>
      <c r="AO42" s="6"/>
      <c r="AP42" s="7"/>
    </row>
    <row r="44" spans="1:46" x14ac:dyDescent="0.3">
      <c r="A44" s="4" t="s">
        <v>7</v>
      </c>
      <c r="B44" s="5">
        <f>E35 * (1 - E35) * (G35 * F44 + G37 * F45)</f>
        <v>-6.2823097203852998E-4</v>
      </c>
      <c r="C44" s="6"/>
      <c r="D44" s="6"/>
      <c r="E44" s="7"/>
      <c r="F44" s="5">
        <f>I35 * (1 - I35) * K35 *J44</f>
        <v>-3.4038497433703224E-3</v>
      </c>
      <c r="G44" s="6"/>
      <c r="H44" s="6"/>
      <c r="I44" s="7"/>
      <c r="J44" s="5">
        <f>$P$18 - M35</f>
        <v>-0.14343033840931463</v>
      </c>
      <c r="K44" s="6"/>
      <c r="L44" s="6"/>
      <c r="M44" s="7"/>
      <c r="S44" s="4" t="s">
        <v>7</v>
      </c>
      <c r="T44" s="5">
        <f>W35 * (1 - W35) * (Y35 * X44 + Y37 * X45)</f>
        <v>-1.6455063424096318E-4</v>
      </c>
      <c r="U44" s="6"/>
      <c r="V44" s="6"/>
      <c r="W44" s="7"/>
      <c r="X44" s="5">
        <f>AA35 * (1 - AA35) * AC35 *AB44</f>
        <v>-6.327343900663304E-4</v>
      </c>
      <c r="Y44" s="6"/>
      <c r="Z44" s="6"/>
      <c r="AA44" s="7"/>
      <c r="AB44" s="5">
        <f>$P$19 - AE35</f>
        <v>-3.942633162720055E-2</v>
      </c>
      <c r="AC44" s="6"/>
      <c r="AD44" s="6"/>
      <c r="AE44" s="7"/>
      <c r="AI44" s="8" t="s">
        <v>4</v>
      </c>
      <c r="AJ44" s="8"/>
      <c r="AK44" s="8"/>
      <c r="AL44" s="8"/>
      <c r="AM44" s="8" t="s">
        <v>5</v>
      </c>
      <c r="AN44" s="8"/>
      <c r="AO44" s="8"/>
      <c r="AP44" s="8"/>
      <c r="AQ44" s="8" t="s">
        <v>6</v>
      </c>
      <c r="AR44" s="8"/>
      <c r="AS44" s="8"/>
      <c r="AT44" s="8"/>
    </row>
    <row r="45" spans="1:46" x14ac:dyDescent="0.3">
      <c r="B45" s="5">
        <f>E36 * (1 - E36) * (G36 * F44 + G38 * F45)</f>
        <v>-8.9329678504021027E-4</v>
      </c>
      <c r="C45" s="6"/>
      <c r="D45" s="6"/>
      <c r="E45" s="7"/>
      <c r="F45" s="5">
        <f>J36 * (1 - J36) * K36 * J44</f>
        <v>-7.2367083110067495E-3</v>
      </c>
      <c r="G45" s="6"/>
      <c r="H45" s="6"/>
      <c r="I45" s="7"/>
      <c r="T45" s="5">
        <f>W36 * (1 - W36) * (Y36 * X44 + Y38 * X45)</f>
        <v>-2.2904206214894194E-4</v>
      </c>
      <c r="U45" s="6"/>
      <c r="V45" s="6"/>
      <c r="W45" s="7"/>
      <c r="X45" s="5">
        <f>AB36 * (1 - AB36) * AC36 * AB44</f>
        <v>-1.9860724847106446E-3</v>
      </c>
      <c r="Y45" s="6"/>
      <c r="Z45" s="6"/>
      <c r="AA45" s="7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</row>
    <row r="46" spans="1:46" x14ac:dyDescent="0.3">
      <c r="AI46" s="3" t="s">
        <v>0</v>
      </c>
      <c r="AJ46" s="3" t="s">
        <v>1</v>
      </c>
      <c r="AK46" s="3" t="s">
        <v>2</v>
      </c>
      <c r="AL46" s="3" t="s">
        <v>3</v>
      </c>
      <c r="AM46" s="3" t="s">
        <v>0</v>
      </c>
      <c r="AN46" s="3" t="s">
        <v>1</v>
      </c>
      <c r="AO46" s="3" t="s">
        <v>2</v>
      </c>
      <c r="AP46" s="3" t="s">
        <v>3</v>
      </c>
      <c r="AQ46" s="3" t="s">
        <v>0</v>
      </c>
      <c r="AR46" s="3" t="s">
        <v>1</v>
      </c>
      <c r="AS46" s="3" t="s">
        <v>2</v>
      </c>
      <c r="AT46" s="3" t="s">
        <v>3</v>
      </c>
    </row>
    <row r="47" spans="1:46" x14ac:dyDescent="0.3">
      <c r="B47" s="8" t="s">
        <v>4</v>
      </c>
      <c r="C47" s="8"/>
      <c r="D47" s="8"/>
      <c r="E47" s="8"/>
      <c r="F47" s="8" t="s">
        <v>5</v>
      </c>
      <c r="G47" s="8"/>
      <c r="H47" s="8"/>
      <c r="I47" s="8"/>
      <c r="J47" s="8" t="s">
        <v>6</v>
      </c>
      <c r="K47" s="8"/>
      <c r="L47" s="8"/>
      <c r="M47" s="8"/>
      <c r="T47" s="9" t="s">
        <v>4</v>
      </c>
      <c r="U47" s="10"/>
      <c r="V47" s="10"/>
      <c r="W47" s="11"/>
      <c r="X47" s="9" t="s">
        <v>5</v>
      </c>
      <c r="Y47" s="10"/>
      <c r="Z47" s="10"/>
      <c r="AA47" s="11"/>
      <c r="AB47" s="9" t="s">
        <v>6</v>
      </c>
      <c r="AC47" s="10"/>
      <c r="AD47" s="10"/>
      <c r="AE47" s="11"/>
      <c r="AI47" s="3">
        <f>$B$4</f>
        <v>0.1</v>
      </c>
      <c r="AJ47" s="3">
        <f>AJ32 + $O$7 * AI32 * AI41</f>
        <v>9.9988241263037569E-2</v>
      </c>
      <c r="AK47" s="3">
        <f>AI47*AJ47+AI48*AJ48</f>
        <v>2.999764825260752E-2</v>
      </c>
      <c r="AL47" s="3">
        <f>1/(1+EXP(-AK47))</f>
        <v>0.50749884974602788</v>
      </c>
      <c r="AM47" s="3">
        <f>AL47</f>
        <v>0.50749884974602788</v>
      </c>
      <c r="AN47" s="3">
        <f>AN32 + $O$7 * AM32 * AM41</f>
        <v>9.9656273249756358E-2</v>
      </c>
      <c r="AO47" s="3">
        <f>AM47*AN47+AM48*AN48</f>
        <v>0.15389246938978918</v>
      </c>
      <c r="AP47" s="3">
        <f>1/(1+EXP(-AO47))</f>
        <v>0.53839736718333453</v>
      </c>
      <c r="AQ47" s="3">
        <f>AP47</f>
        <v>0.53839736718333453</v>
      </c>
      <c r="AR47" s="3">
        <f>AR32 + $O$7 * AQ32 * AQ41</f>
        <v>8.4743325096103481E-2</v>
      </c>
      <c r="AS47" s="3">
        <f>AQ47*AR47+AQ48*AR48</f>
        <v>0.15354175129781056</v>
      </c>
      <c r="AT47" s="3">
        <f>1/(1+EXP(-AS47))</f>
        <v>0.53831020357138815</v>
      </c>
    </row>
    <row r="48" spans="1:46" x14ac:dyDescent="0.3"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T48" s="12"/>
      <c r="U48" s="13"/>
      <c r="V48" s="13"/>
      <c r="W48" s="14"/>
      <c r="X48" s="12"/>
      <c r="Y48" s="13"/>
      <c r="Z48" s="13"/>
      <c r="AA48" s="14"/>
      <c r="AB48" s="12"/>
      <c r="AC48" s="13"/>
      <c r="AD48" s="13"/>
      <c r="AE48" s="14"/>
      <c r="AI48" s="3">
        <f>$B$5</f>
        <v>0.1</v>
      </c>
      <c r="AJ48" s="3">
        <f>AJ33 + $O$7 * AI33 * AI41</f>
        <v>0.1999882412630376</v>
      </c>
      <c r="AK48" s="3">
        <f>AI47*AJ49+AI48*AJ50</f>
        <v>6.9996641532137346E-2</v>
      </c>
      <c r="AL48" s="3">
        <f>1/(1+EXP(-AK48))</f>
        <v>0.51749201907706621</v>
      </c>
      <c r="AM48" s="3">
        <f>AL48</f>
        <v>0.51749201907706621</v>
      </c>
      <c r="AN48" s="3">
        <f>AN33 + $O$7 * AM33 * AM41</f>
        <v>0.19964950479782323</v>
      </c>
      <c r="AO48" s="3">
        <f>AM47*AN49+AM48*AN50</f>
        <v>0.35854071538455923</v>
      </c>
      <c r="AP48" s="3">
        <f>1/(1+EXP(-AO48))</f>
        <v>0.58868713656035088</v>
      </c>
      <c r="AQ48" s="3">
        <f>AP48</f>
        <v>0.58868713656035088</v>
      </c>
      <c r="AR48" s="3">
        <f>AR33 + $O$7* AQ33 * AQ41</f>
        <v>0.18331667447373162</v>
      </c>
      <c r="AS48" s="3"/>
      <c r="AT48" s="3"/>
    </row>
    <row r="49" spans="2:46" x14ac:dyDescent="0.3">
      <c r="B49" s="3" t="s">
        <v>0</v>
      </c>
      <c r="C49" s="3" t="s">
        <v>1</v>
      </c>
      <c r="D49" s="3" t="s">
        <v>2</v>
      </c>
      <c r="E49" s="3" t="s">
        <v>3</v>
      </c>
      <c r="F49" s="3" t="s">
        <v>0</v>
      </c>
      <c r="G49" s="3" t="s">
        <v>1</v>
      </c>
      <c r="H49" s="3" t="s">
        <v>2</v>
      </c>
      <c r="I49" s="3" t="s">
        <v>3</v>
      </c>
      <c r="J49" s="3" t="s">
        <v>0</v>
      </c>
      <c r="K49" s="3" t="s">
        <v>1</v>
      </c>
      <c r="L49" s="3" t="s">
        <v>2</v>
      </c>
      <c r="M49" s="3" t="s">
        <v>3</v>
      </c>
      <c r="T49" s="3">
        <f>$O$19</f>
        <v>0.2</v>
      </c>
      <c r="U49" s="3" t="s">
        <v>1</v>
      </c>
      <c r="V49" s="3" t="s">
        <v>2</v>
      </c>
      <c r="W49" s="3" t="s">
        <v>3</v>
      </c>
      <c r="X49" s="3" t="s">
        <v>0</v>
      </c>
      <c r="Y49" s="3" t="s">
        <v>1</v>
      </c>
      <c r="Z49" s="3" t="s">
        <v>2</v>
      </c>
      <c r="AA49" s="3" t="s">
        <v>3</v>
      </c>
      <c r="AB49" s="3" t="s">
        <v>0</v>
      </c>
      <c r="AC49" s="3" t="s">
        <v>1</v>
      </c>
      <c r="AD49" s="3" t="s">
        <v>2</v>
      </c>
      <c r="AE49" s="3" t="s">
        <v>3</v>
      </c>
      <c r="AI49" s="3">
        <f>$B$6</f>
        <v>0.1</v>
      </c>
      <c r="AJ49" s="3">
        <f>AJ34 + $O$7 * AI32 * AI42</f>
        <v>0.2999832076606867</v>
      </c>
      <c r="AK49" s="3"/>
      <c r="AL49" s="3"/>
      <c r="AM49" s="3"/>
      <c r="AN49" s="3">
        <f>AN34 + $O$7 * AM32 * AM42</f>
        <v>0.29931823789994783</v>
      </c>
      <c r="AO49" s="3"/>
      <c r="AP49" s="3"/>
      <c r="AQ49" s="3"/>
      <c r="AR49" s="3"/>
      <c r="AS49" s="3"/>
      <c r="AT49" s="3"/>
    </row>
    <row r="50" spans="2:46" x14ac:dyDescent="0.3">
      <c r="B50" s="3">
        <f>$B$4</f>
        <v>0.1</v>
      </c>
      <c r="C50" s="3">
        <f>C35 + $O$7 * B35 * B44</f>
        <v>9.9995767814999859E-2</v>
      </c>
      <c r="D50" s="3">
        <f>B50*C50+B51*C51</f>
        <v>2.999915356299997E-2</v>
      </c>
      <c r="E50" s="3">
        <f>1/(1+EXP(-D50))</f>
        <v>0.50749922598897401</v>
      </c>
      <c r="F50" s="3">
        <f>E50</f>
        <v>0.50749922598897401</v>
      </c>
      <c r="G50" s="3">
        <f>G35 + $O$7 * F35 * F44</f>
        <v>9.994507518049095E-2</v>
      </c>
      <c r="H50" s="3">
        <f>F50*G50+F51*G51</f>
        <v>0.15419096331002843</v>
      </c>
      <c r="I50" s="3">
        <f>1/(1+EXP(-H50))</f>
        <v>0.53847154972576772</v>
      </c>
      <c r="J50" s="3">
        <f>I50</f>
        <v>0.53847154972576772</v>
      </c>
      <c r="K50" s="3">
        <f>K35 + $P$18 * J35 * J44</f>
        <v>6.4597749642383101E-2</v>
      </c>
      <c r="L50" s="3">
        <f>J50*K50+J51*K51</f>
        <v>0.15750027851179599</v>
      </c>
      <c r="M50" s="3">
        <f>1/(1+EXP(-L50))</f>
        <v>0.53929387509628468</v>
      </c>
      <c r="T50" s="3">
        <f t="shared" ref="T50:T56" si="14">$O$19</f>
        <v>0.2</v>
      </c>
      <c r="U50" s="3">
        <f>U35 + $O$7 * T35 * T44</f>
        <v>9.9992476802315045E-2</v>
      </c>
      <c r="V50" s="3">
        <f>T50*U50+T51*U51</f>
        <v>5.999699072092602E-2</v>
      </c>
      <c r="W50" s="3">
        <f>1/(1+EXP(-V50))</f>
        <v>0.51499474997628936</v>
      </c>
      <c r="X50" s="3">
        <f>W50</f>
        <v>0.51499474997628936</v>
      </c>
      <c r="Y50" s="3">
        <f>Y35 + $O$7 * X35 * X44</f>
        <v>9.9912489670784949E-2</v>
      </c>
      <c r="Z50" s="3">
        <f>X50*Y50+X51*Y51</f>
        <v>0.1583940850521898</v>
      </c>
      <c r="AA50" s="3">
        <f>1/(1+EXP(-Z50))</f>
        <v>0.53951593887246729</v>
      </c>
      <c r="AB50" s="3">
        <f>AA50</f>
        <v>0.53951593887246729</v>
      </c>
      <c r="AC50" s="3">
        <f>AC35 +  $P$19 * AB35 * AB44</f>
        <v>5.3962011009476028E-2</v>
      </c>
      <c r="AD50" s="3">
        <f>AB50*AC50+AB51*AC51</f>
        <v>0.15228916535080558</v>
      </c>
      <c r="AE50" s="3">
        <f>1/(1+EXP(-AD50))</f>
        <v>0.53799888057088341</v>
      </c>
      <c r="AI50" s="3">
        <f>$B$7</f>
        <v>0.1</v>
      </c>
      <c r="AJ50" s="3">
        <f>AJ35 + $O$7 * AI33* AI42</f>
        <v>0.39998320766068673</v>
      </c>
      <c r="AK50" s="3"/>
      <c r="AL50" s="3"/>
      <c r="AM50" s="3"/>
      <c r="AN50" s="3">
        <f>AN35 + $O$7 * AM33* AM42</f>
        <v>0.3993048130691168</v>
      </c>
      <c r="AO50" s="3"/>
      <c r="AP50" s="3"/>
      <c r="AQ50" s="3"/>
      <c r="AR50" s="3"/>
      <c r="AS50" s="3"/>
      <c r="AT50" s="3"/>
    </row>
    <row r="51" spans="2:46" x14ac:dyDescent="0.3">
      <c r="B51" s="3">
        <f>$B$5</f>
        <v>0.1</v>
      </c>
      <c r="C51" s="3">
        <f>C36 + $O$7 * B36 * B44</f>
        <v>0.19999576781499984</v>
      </c>
      <c r="D51" s="3">
        <f>B50*C52+B51*C53</f>
        <v>6.9998801000429975E-2</v>
      </c>
      <c r="E51" s="3">
        <f>1/(1+EXP(-D51))</f>
        <v>0.51749255828338492</v>
      </c>
      <c r="F51" s="3">
        <f>E51</f>
        <v>0.51749255828338492</v>
      </c>
      <c r="G51" s="3">
        <f>G36 + $O$7 * F36 * F44</f>
        <v>0.19994280759851754</v>
      </c>
      <c r="H51" s="3">
        <f>F50*G52+F51*G53</f>
        <v>0.35910732025540432</v>
      </c>
      <c r="I51" s="3">
        <f>1/(1+EXP(-H51))</f>
        <v>0.58882432430203824</v>
      </c>
      <c r="J51" s="3">
        <f>I51</f>
        <v>0.58882432430203824</v>
      </c>
      <c r="K51" s="3">
        <f>K36 + $P$18 * J36 * J45</f>
        <v>0.20840889733712384</v>
      </c>
      <c r="L51" s="3"/>
      <c r="M51" s="3"/>
      <c r="T51" s="3">
        <f t="shared" si="14"/>
        <v>0.2</v>
      </c>
      <c r="U51" s="3">
        <f>U36 + $O$7 * T36 * T44</f>
        <v>0.19999247680231502</v>
      </c>
      <c r="V51" s="3">
        <f>T50*U52+T51*U53</f>
        <v>0.13999576966436275</v>
      </c>
      <c r="W51" s="3">
        <f>1/(1+EXP(-V51))</f>
        <v>0.53494189273942927</v>
      </c>
      <c r="X51" s="3">
        <f>W51</f>
        <v>0.53494189273942927</v>
      </c>
      <c r="Y51" s="3">
        <f>Y36 + $O$7 * X36 * X44</f>
        <v>0.19990895995645219</v>
      </c>
      <c r="Z51" s="3">
        <f>X50*Y52+X51*Y53</f>
        <v>0.36822278473778869</v>
      </c>
      <c r="AA51" s="3">
        <f>1/(1+EXP(-Z51))</f>
        <v>0.59102947086914226</v>
      </c>
      <c r="AB51" s="3">
        <f>AA51</f>
        <v>0.59102947086914226</v>
      </c>
      <c r="AC51" s="3">
        <f>AC36 +  $P$19 * AB36 * AB45</f>
        <v>0.20840889733712384</v>
      </c>
      <c r="AD51" s="3"/>
      <c r="AE51" s="3"/>
      <c r="AI51" s="3">
        <f>$B$8</f>
        <v>0.1</v>
      </c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</row>
    <row r="52" spans="2:46" x14ac:dyDescent="0.3">
      <c r="B52" s="3">
        <f>$B$6</f>
        <v>0.1</v>
      </c>
      <c r="C52" s="3">
        <f>C37 + $O$7 * B35 * B45</f>
        <v>0.29999400500214984</v>
      </c>
      <c r="D52" s="3"/>
      <c r="E52" s="3"/>
      <c r="F52" s="3"/>
      <c r="G52" s="3">
        <f>G37 + $O$7 * F35 * F45</f>
        <v>0.29986638551021072</v>
      </c>
      <c r="H52" s="3"/>
      <c r="I52" s="3"/>
      <c r="J52" s="3"/>
      <c r="K52" s="3"/>
      <c r="L52" s="3"/>
      <c r="M52" s="3"/>
      <c r="T52" s="3">
        <f t="shared" si="14"/>
        <v>0.2</v>
      </c>
      <c r="U52" s="3">
        <f>U37 + $O$7 * T35 * T45</f>
        <v>0.29998942416090685</v>
      </c>
      <c r="V52" s="3"/>
      <c r="W52" s="3"/>
      <c r="X52" s="3"/>
      <c r="Y52" s="3">
        <f>Y37 + $O$7 * X35 * X45</f>
        <v>0.2997641037546378</v>
      </c>
      <c r="Z52" s="3"/>
      <c r="AA52" s="3"/>
      <c r="AB52" s="3"/>
      <c r="AC52" s="3"/>
      <c r="AD52" s="3"/>
      <c r="AE52" s="3"/>
      <c r="AI52" s="3">
        <f>$B$9</f>
        <v>0.1</v>
      </c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</row>
    <row r="53" spans="2:46" x14ac:dyDescent="0.3">
      <c r="B53" s="3">
        <f>$B$7</f>
        <v>0.1</v>
      </c>
      <c r="C53" s="3">
        <f>C38 + $O$7 * B36* B45</f>
        <v>0.39999400500214988</v>
      </c>
      <c r="D53" s="3"/>
      <c r="E53" s="3"/>
      <c r="F53" s="3"/>
      <c r="G53" s="3">
        <f>G38 + $O$7 * F36* F45</f>
        <v>0.39986152147824</v>
      </c>
      <c r="H53" s="3"/>
      <c r="I53" s="3"/>
      <c r="J53" s="3"/>
      <c r="K53" s="3"/>
      <c r="L53" s="3"/>
      <c r="M53" s="3"/>
      <c r="T53" s="3">
        <f t="shared" si="14"/>
        <v>0.2</v>
      </c>
      <c r="U53" s="3">
        <f>U38 + $O$7 * T36* T45</f>
        <v>0.39998942416090688</v>
      </c>
      <c r="V53" s="3"/>
      <c r="W53" s="3"/>
      <c r="X53" s="3"/>
      <c r="Y53" s="3">
        <f>Y38 + $O$7 * X36* X45</f>
        <v>0.39975527805029659</v>
      </c>
      <c r="Z53" s="3"/>
      <c r="AA53" s="3"/>
      <c r="AB53" s="3"/>
      <c r="AC53" s="3"/>
      <c r="AD53" s="3"/>
      <c r="AE53" s="3"/>
      <c r="AI53" s="3">
        <f>$B$10</f>
        <v>0.1</v>
      </c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</row>
    <row r="54" spans="2:46" x14ac:dyDescent="0.3">
      <c r="B54" s="3">
        <f>$B$8</f>
        <v>0.1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T54" s="3">
        <f t="shared" si="14"/>
        <v>0.2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I54" s="3">
        <f>$B$11</f>
        <v>0.1</v>
      </c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</row>
    <row r="55" spans="2:46" x14ac:dyDescent="0.3">
      <c r="B55" s="3">
        <f>$B$9</f>
        <v>0.1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T55" s="3">
        <f t="shared" si="14"/>
        <v>0.2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2:46" x14ac:dyDescent="0.3">
      <c r="B56" s="3">
        <f>$B$10</f>
        <v>0.1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T56" s="3">
        <f t="shared" si="14"/>
        <v>0.2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2:46" x14ac:dyDescent="0.3">
      <c r="B57" s="3">
        <f>$B$11</f>
        <v>0.1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T57" s="3">
        <f>$B$11</f>
        <v>0.1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63" spans="2:46" x14ac:dyDescent="0.3">
      <c r="B63" s="8" t="s">
        <v>4</v>
      </c>
      <c r="C63" s="8"/>
      <c r="D63" s="8"/>
      <c r="E63" s="8"/>
      <c r="F63" s="8" t="s">
        <v>5</v>
      </c>
      <c r="G63" s="8"/>
      <c r="H63" s="8"/>
      <c r="I63" s="8"/>
      <c r="J63" s="8" t="s">
        <v>6</v>
      </c>
      <c r="K63" s="8"/>
      <c r="L63" s="8"/>
      <c r="M63" s="8"/>
      <c r="T63" s="9" t="s">
        <v>4</v>
      </c>
      <c r="U63" s="10"/>
      <c r="V63" s="10"/>
      <c r="W63" s="11"/>
      <c r="X63" s="9" t="s">
        <v>5</v>
      </c>
      <c r="Y63" s="10"/>
      <c r="Z63" s="10"/>
      <c r="AA63" s="11"/>
      <c r="AB63" s="9" t="s">
        <v>6</v>
      </c>
      <c r="AC63" s="10"/>
      <c r="AD63" s="10"/>
      <c r="AE63" s="11"/>
    </row>
    <row r="64" spans="2:46" x14ac:dyDescent="0.3"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T64" s="12"/>
      <c r="U64" s="13"/>
      <c r="V64" s="13"/>
      <c r="W64" s="14"/>
      <c r="X64" s="12"/>
      <c r="Y64" s="13"/>
      <c r="Z64" s="13"/>
      <c r="AA64" s="14"/>
      <c r="AB64" s="12"/>
      <c r="AC64" s="13"/>
      <c r="AD64" s="13"/>
      <c r="AE64" s="14"/>
    </row>
    <row r="65" spans="1:31" x14ac:dyDescent="0.3">
      <c r="B65" s="3" t="s">
        <v>0</v>
      </c>
      <c r="C65" s="3" t="s">
        <v>1</v>
      </c>
      <c r="D65" s="3" t="s">
        <v>2</v>
      </c>
      <c r="E65" s="3" t="s">
        <v>3</v>
      </c>
      <c r="F65" s="3" t="s">
        <v>0</v>
      </c>
      <c r="G65" s="3" t="s">
        <v>1</v>
      </c>
      <c r="H65" s="3" t="s">
        <v>2</v>
      </c>
      <c r="I65" s="3" t="s">
        <v>3</v>
      </c>
      <c r="J65" s="3" t="s">
        <v>0</v>
      </c>
      <c r="K65" s="3" t="s">
        <v>1</v>
      </c>
      <c r="L65" s="3" t="s">
        <v>2</v>
      </c>
      <c r="M65" s="3" t="s">
        <v>3</v>
      </c>
      <c r="T65" s="3" t="s">
        <v>0</v>
      </c>
      <c r="U65" s="3" t="s">
        <v>1</v>
      </c>
      <c r="V65" s="3" t="s">
        <v>2</v>
      </c>
      <c r="W65" s="3" t="s">
        <v>3</v>
      </c>
      <c r="X65" s="3" t="s">
        <v>0</v>
      </c>
      <c r="Y65" s="3" t="s">
        <v>1</v>
      </c>
      <c r="Z65" s="3" t="s">
        <v>2</v>
      </c>
      <c r="AA65" s="3" t="s">
        <v>3</v>
      </c>
      <c r="AB65" s="3" t="s">
        <v>0</v>
      </c>
      <c r="AC65" s="3" t="s">
        <v>1</v>
      </c>
      <c r="AD65" s="3" t="s">
        <v>2</v>
      </c>
      <c r="AE65" s="3" t="s">
        <v>3</v>
      </c>
    </row>
    <row r="66" spans="1:31" x14ac:dyDescent="0.3">
      <c r="B66" s="3">
        <f>$B$4</f>
        <v>0.1</v>
      </c>
      <c r="C66" s="3">
        <f>U50</f>
        <v>9.9992476802315045E-2</v>
      </c>
      <c r="D66" s="3">
        <f>B66*C66+B67*C67</f>
        <v>2.999849536046301E-2</v>
      </c>
      <c r="E66" s="3">
        <f>1/(1+EXP(-D66))</f>
        <v>0.50749906147535517</v>
      </c>
      <c r="F66" s="3">
        <f>E66</f>
        <v>0.50749906147535517</v>
      </c>
      <c r="G66" s="3">
        <f>Y50</f>
        <v>9.9912489670784949E-2</v>
      </c>
      <c r="H66" s="3">
        <f>F66*G66+F67*G67</f>
        <v>0.15415684811770558</v>
      </c>
      <c r="I66" s="3">
        <f>1/(1+EXP(-H66))</f>
        <v>0.53846307140909655</v>
      </c>
      <c r="J66" s="3">
        <f>I66</f>
        <v>0.53846307140909655</v>
      </c>
      <c r="K66" s="3">
        <f>AC50</f>
        <v>5.3962011009476028E-2</v>
      </c>
      <c r="L66" s="3">
        <f>J66*K66+J67*K67</f>
        <v>0.15176737783483304</v>
      </c>
      <c r="M66" s="3">
        <f>1/(1+EXP(-L66))</f>
        <v>0.53786918454008725</v>
      </c>
      <c r="T66" s="3">
        <f>$O$19</f>
        <v>0.2</v>
      </c>
      <c r="U66" s="3">
        <f>C81</f>
        <v>9.998680281229462E-2</v>
      </c>
      <c r="V66" s="3">
        <f>T66*U66+T67*U67</f>
        <v>5.9994721124917848E-2</v>
      </c>
      <c r="W66" s="3">
        <f>1/(1+EXP(-V66))</f>
        <v>0.51499418308756983</v>
      </c>
      <c r="X66" s="3">
        <f>W66</f>
        <v>0.51499418308756983</v>
      </c>
      <c r="Y66" s="3">
        <f>G81</f>
        <v>9.9818657242355668E-2</v>
      </c>
      <c r="Z66" s="3">
        <f>X66*Y66+X67*Y67</f>
        <v>0.15829436554043325</v>
      </c>
      <c r="AA66" s="3">
        <f>1/(1+EXP(-Z66))</f>
        <v>0.53949116460988289</v>
      </c>
      <c r="AB66" s="3">
        <f>AA66</f>
        <v>0.53949116460988289</v>
      </c>
      <c r="AC66" s="3">
        <f>K81</f>
        <v>2.4267025185426869E-2</v>
      </c>
      <c r="AD66" s="3">
        <f>AB66*AC66+AB67*AC67</f>
        <v>0.13624876042838804</v>
      </c>
      <c r="AE66" s="3">
        <f>1/(1+EXP(-AD66))</f>
        <v>0.53400959431561501</v>
      </c>
    </row>
    <row r="67" spans="1:31" x14ac:dyDescent="0.3">
      <c r="B67" s="3">
        <f>$B$5</f>
        <v>0.1</v>
      </c>
      <c r="C67" s="3">
        <f>U51</f>
        <v>0.19999247680231502</v>
      </c>
      <c r="D67" s="3">
        <f>B66*C68+B67*C69</f>
        <v>6.9997884832181376E-2</v>
      </c>
      <c r="E67" s="3">
        <f>1/(1+EXP(-D67))</f>
        <v>0.51749232952165702</v>
      </c>
      <c r="F67" s="3">
        <f>E67</f>
        <v>0.51749232952165702</v>
      </c>
      <c r="G67" s="3">
        <f t="shared" ref="G67:G69" si="15">Y51</f>
        <v>0.19990895995645219</v>
      </c>
      <c r="H67" s="3">
        <f>F66*G68+F67*G69</f>
        <v>0.3590002913963054</v>
      </c>
      <c r="I67" s="3">
        <f>1/(1+EXP(-H67))</f>
        <v>0.58879841127301347</v>
      </c>
      <c r="J67" s="3">
        <f>I67</f>
        <v>0.58879841127301347</v>
      </c>
      <c r="K67" s="3">
        <f>AC51</f>
        <v>0.20840889733712384</v>
      </c>
      <c r="L67" s="3"/>
      <c r="M67" s="3"/>
      <c r="T67" s="3">
        <f t="shared" ref="T67:T73" si="16">$O$19</f>
        <v>0.2</v>
      </c>
      <c r="U67" s="3">
        <f t="shared" ref="U67:U69" si="17">C82</f>
        <v>0.19998680281229461</v>
      </c>
      <c r="V67" s="3">
        <f>T66*U68+T67*U69</f>
        <v>0.13999262291734804</v>
      </c>
      <c r="W67" s="3">
        <f>1/(1+EXP(-V67))</f>
        <v>0.53494110989456578</v>
      </c>
      <c r="X67" s="3">
        <f>W67</f>
        <v>0.53494110989456578</v>
      </c>
      <c r="Y67" s="3">
        <f t="shared" ref="Y67:Y69" si="18">G82</f>
        <v>0.199813279854441</v>
      </c>
      <c r="Z67" s="3">
        <f>X66*Y68+X67*Y69</f>
        <v>0.3678478999381497</v>
      </c>
      <c r="AA67" s="3">
        <f>1/(1+EXP(-Z67))</f>
        <v>0.59093885301002846</v>
      </c>
      <c r="AB67" s="3">
        <f>AA67</f>
        <v>0.59093885301002846</v>
      </c>
      <c r="AC67" s="3">
        <f>K82</f>
        <v>0.20840889733712384</v>
      </c>
      <c r="AD67" s="3"/>
      <c r="AE67" s="3"/>
    </row>
    <row r="68" spans="1:31" x14ac:dyDescent="0.3">
      <c r="B68" s="3">
        <f>$B$6</f>
        <v>0.1</v>
      </c>
      <c r="C68" s="3">
        <f t="shared" ref="C68:C69" si="19">U52</f>
        <v>0.29998942416090685</v>
      </c>
      <c r="D68" s="3"/>
      <c r="E68" s="3"/>
      <c r="F68" s="3"/>
      <c r="G68" s="3">
        <f t="shared" si="15"/>
        <v>0.2997641037546378</v>
      </c>
      <c r="H68" s="3"/>
      <c r="I68" s="3"/>
      <c r="J68" s="3"/>
      <c r="K68" s="3"/>
      <c r="L68" s="3"/>
      <c r="M68" s="3"/>
      <c r="T68" s="3">
        <f t="shared" si="16"/>
        <v>0.2</v>
      </c>
      <c r="U68" s="3">
        <f t="shared" si="17"/>
        <v>0.29998155729337006</v>
      </c>
      <c r="V68" s="3"/>
      <c r="W68" s="3"/>
      <c r="X68" s="3"/>
      <c r="Y68" s="3">
        <f t="shared" si="18"/>
        <v>0.2994110505811895</v>
      </c>
      <c r="Z68" s="3"/>
      <c r="AA68" s="3"/>
      <c r="AB68" s="3"/>
      <c r="AC68" s="3"/>
      <c r="AD68" s="3"/>
      <c r="AE68" s="3"/>
    </row>
    <row r="69" spans="1:31" x14ac:dyDescent="0.3">
      <c r="B69" s="3">
        <f>$B$7</f>
        <v>0.1</v>
      </c>
      <c r="C69" s="3">
        <f t="shared" si="19"/>
        <v>0.39998942416090688</v>
      </c>
      <c r="D69" s="3"/>
      <c r="E69" s="3"/>
      <c r="F69" s="3"/>
      <c r="G69" s="3">
        <f t="shared" si="15"/>
        <v>0.39975527805029659</v>
      </c>
      <c r="H69" s="3"/>
      <c r="I69" s="3"/>
      <c r="J69" s="3"/>
      <c r="K69" s="3"/>
      <c r="L69" s="3"/>
      <c r="M69" s="3"/>
      <c r="T69" s="3">
        <f t="shared" si="16"/>
        <v>0.2</v>
      </c>
      <c r="U69" s="3">
        <f t="shared" si="17"/>
        <v>0.39998155729337009</v>
      </c>
      <c r="V69" s="3"/>
      <c r="W69" s="3"/>
      <c r="X69" s="3"/>
      <c r="Y69" s="3">
        <f t="shared" si="18"/>
        <v>0.39939527283444132</v>
      </c>
      <c r="Z69" s="3"/>
      <c r="AA69" s="3"/>
      <c r="AB69" s="3"/>
      <c r="AC69" s="3"/>
      <c r="AD69" s="3"/>
      <c r="AE69" s="3"/>
    </row>
    <row r="70" spans="1:31" x14ac:dyDescent="0.3">
      <c r="B70" s="3">
        <f>$B$8</f>
        <v>0.1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T70" s="3">
        <f t="shared" si="16"/>
        <v>0.2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spans="1:31" x14ac:dyDescent="0.3">
      <c r="B71" s="3">
        <f>$B$9</f>
        <v>0.1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T71" s="3">
        <f t="shared" si="16"/>
        <v>0.2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spans="1:31" x14ac:dyDescent="0.3">
      <c r="B72" s="3">
        <f>$B$10</f>
        <v>0.1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T72" s="3">
        <f t="shared" si="16"/>
        <v>0.2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spans="1:31" x14ac:dyDescent="0.3">
      <c r="B73" s="3">
        <f>$B$11</f>
        <v>0.1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T73" s="3">
        <f t="shared" si="16"/>
        <v>0.2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5" spans="1:31" x14ac:dyDescent="0.3">
      <c r="A75" s="4" t="s">
        <v>7</v>
      </c>
      <c r="B75" s="5">
        <f>E66 * (1 - E66) * (G66 * F75 + G68 * F76)</f>
        <v>-5.6739900204212808E-4</v>
      </c>
      <c r="C75" s="6"/>
      <c r="D75" s="6"/>
      <c r="E75" s="7"/>
      <c r="F75" s="5">
        <f>I66 * (1 - I66) * K66 *J75</f>
        <v>-1.8489182651194854E-3</v>
      </c>
      <c r="G75" s="6"/>
      <c r="H75" s="6"/>
      <c r="I75" s="7"/>
      <c r="J75" s="5">
        <f>$P$18 - M66</f>
        <v>-0.13786918454008723</v>
      </c>
      <c r="K75" s="6"/>
      <c r="L75" s="6"/>
      <c r="M75" s="7"/>
      <c r="S75" s="4" t="s">
        <v>7</v>
      </c>
      <c r="T75" s="5">
        <f>W66 * (1 - W66) * (Y66 * X75 + Y68 * X76)</f>
        <v>-1.3324647587344721E-4</v>
      </c>
      <c r="U75" s="6"/>
      <c r="V75" s="6"/>
      <c r="W75" s="7"/>
      <c r="X75" s="5">
        <f>AA66 * (1 - AA66) * AC66 *AB75</f>
        <v>-2.0504080389893782E-4</v>
      </c>
      <c r="Y75" s="6"/>
      <c r="Z75" s="6"/>
      <c r="AA75" s="7"/>
      <c r="AB75" s="5">
        <f>$P$19 - AE66</f>
        <v>-3.400959431561501E-2</v>
      </c>
      <c r="AC75" s="6"/>
      <c r="AD75" s="6"/>
      <c r="AE75" s="7"/>
    </row>
    <row r="76" spans="1:31" x14ac:dyDescent="0.3">
      <c r="B76" s="5">
        <f>E67 * (1 - E67) * (G67 * F75 + G69 * F76)</f>
        <v>-7.8668675367605829E-4</v>
      </c>
      <c r="C76" s="6"/>
      <c r="D76" s="6"/>
      <c r="E76" s="7"/>
      <c r="F76" s="5">
        <f>J67 * (1 - J67) * K67 * J75</f>
        <v>-6.9567256424462234E-3</v>
      </c>
      <c r="G76" s="6"/>
      <c r="H76" s="6"/>
      <c r="I76" s="7"/>
      <c r="T76" s="5">
        <f>W67 * (1 - W67) * (Y67 * X75 + Y69 * X76)</f>
        <v>-1.8043390731481364E-4</v>
      </c>
      <c r="U76" s="6"/>
      <c r="V76" s="6"/>
      <c r="W76" s="7"/>
      <c r="X76" s="5">
        <f>AB67 * (1 - AB67) * AC67 * AB75</f>
        <v>-1.7133594486763654E-3</v>
      </c>
      <c r="Y76" s="6"/>
      <c r="Z76" s="6"/>
      <c r="AA76" s="7"/>
    </row>
    <row r="78" spans="1:31" x14ac:dyDescent="0.3">
      <c r="B78" s="8" t="s">
        <v>4</v>
      </c>
      <c r="C78" s="8"/>
      <c r="D78" s="8"/>
      <c r="E78" s="8"/>
      <c r="F78" s="8" t="s">
        <v>5</v>
      </c>
      <c r="G78" s="8"/>
      <c r="H78" s="8"/>
      <c r="I78" s="8"/>
      <c r="J78" s="8" t="s">
        <v>6</v>
      </c>
      <c r="K78" s="8"/>
      <c r="L78" s="8"/>
      <c r="M78" s="8"/>
      <c r="T78" s="9" t="s">
        <v>4</v>
      </c>
      <c r="U78" s="10"/>
      <c r="V78" s="10"/>
      <c r="W78" s="11"/>
      <c r="X78" s="9" t="s">
        <v>5</v>
      </c>
      <c r="Y78" s="10"/>
      <c r="Z78" s="10"/>
      <c r="AA78" s="11"/>
      <c r="AB78" s="9" t="s">
        <v>6</v>
      </c>
      <c r="AC78" s="10"/>
      <c r="AD78" s="10"/>
      <c r="AE78" s="11"/>
    </row>
    <row r="79" spans="1:31" x14ac:dyDescent="0.3"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T79" s="12"/>
      <c r="U79" s="13"/>
      <c r="V79" s="13"/>
      <c r="W79" s="14"/>
      <c r="X79" s="12"/>
      <c r="Y79" s="13"/>
      <c r="Z79" s="13"/>
      <c r="AA79" s="14"/>
      <c r="AB79" s="12"/>
      <c r="AC79" s="13"/>
      <c r="AD79" s="13"/>
      <c r="AE79" s="14"/>
    </row>
    <row r="80" spans="1:31" x14ac:dyDescent="0.3">
      <c r="B80" s="3" t="s">
        <v>0</v>
      </c>
      <c r="C80" s="3" t="s">
        <v>1</v>
      </c>
      <c r="D80" s="3" t="s">
        <v>2</v>
      </c>
      <c r="E80" s="3" t="s">
        <v>3</v>
      </c>
      <c r="F80" s="3" t="s">
        <v>0</v>
      </c>
      <c r="G80" s="3" t="s">
        <v>1</v>
      </c>
      <c r="H80" s="3" t="s">
        <v>2</v>
      </c>
      <c r="I80" s="3" t="s">
        <v>3</v>
      </c>
      <c r="J80" s="3" t="s">
        <v>0</v>
      </c>
      <c r="K80" s="3" t="s">
        <v>1</v>
      </c>
      <c r="L80" s="3" t="s">
        <v>2</v>
      </c>
      <c r="M80" s="3" t="s">
        <v>3</v>
      </c>
      <c r="T80" s="3">
        <f>$O$19</f>
        <v>0.2</v>
      </c>
      <c r="U80" s="3" t="s">
        <v>1</v>
      </c>
      <c r="V80" s="3" t="s">
        <v>2</v>
      </c>
      <c r="W80" s="3" t="s">
        <v>3</v>
      </c>
      <c r="X80" s="3" t="s">
        <v>0</v>
      </c>
      <c r="Y80" s="3" t="s">
        <v>1</v>
      </c>
      <c r="Z80" s="3" t="s">
        <v>2</v>
      </c>
      <c r="AA80" s="3" t="s">
        <v>3</v>
      </c>
      <c r="AB80" s="3" t="s">
        <v>0</v>
      </c>
      <c r="AC80" s="3" t="s">
        <v>1</v>
      </c>
      <c r="AD80" s="3" t="s">
        <v>2</v>
      </c>
      <c r="AE80" s="3" t="s">
        <v>3</v>
      </c>
    </row>
    <row r="81" spans="2:31" x14ac:dyDescent="0.3">
      <c r="B81" s="3">
        <f>$B$4</f>
        <v>0.1</v>
      </c>
      <c r="C81" s="3">
        <f>C66 + $O$7 * B66 * B75</f>
        <v>9.998680281229462E-2</v>
      </c>
      <c r="D81" s="3">
        <f>B81*C81+B82*C82</f>
        <v>2.9997360562458924E-2</v>
      </c>
      <c r="E81" s="3">
        <f>1/(1+EXP(-D81))</f>
        <v>0.50749877783966812</v>
      </c>
      <c r="F81" s="3">
        <f>E81</f>
        <v>0.50749877783966812</v>
      </c>
      <c r="G81" s="3">
        <f>G66 + $O$7 * F66 * F75</f>
        <v>9.9818657242355668E-2</v>
      </c>
      <c r="H81" s="3">
        <f>F81*G81+F82*G82</f>
        <v>0.15405960771829208</v>
      </c>
      <c r="I81" s="3">
        <f>1/(1+EXP(-H81))</f>
        <v>0.53843890507708758</v>
      </c>
      <c r="J81" s="3">
        <f>I81</f>
        <v>0.53843890507708758</v>
      </c>
      <c r="K81" s="3">
        <f>K66 + $P$18 * J66 * J75</f>
        <v>2.4267025185426869E-2</v>
      </c>
      <c r="L81" s="3">
        <f>J81*K81+J82*K82</f>
        <v>0.13575868389995552</v>
      </c>
      <c r="M81" s="3">
        <f>1/(1+EXP(-L81))</f>
        <v>0.53388764000154265</v>
      </c>
      <c r="T81" s="3">
        <f t="shared" ref="T81:T87" si="20">$O$19</f>
        <v>0.2</v>
      </c>
      <c r="U81" s="3">
        <f>U66 + $O$7 * T66 * T75</f>
        <v>9.9984137882777158E-2</v>
      </c>
      <c r="V81" s="3">
        <f>T81*U81+T82*U82</f>
        <v>5.9993655153110864E-2</v>
      </c>
      <c r="W81" s="3">
        <f>1/(1+EXP(-V81))</f>
        <v>0.51499391683427143</v>
      </c>
      <c r="X81" s="3">
        <f>W81</f>
        <v>0.51499391683427143</v>
      </c>
      <c r="Y81" s="3">
        <f>Y66 + $O$7 * X66 * X75</f>
        <v>9.9808097760225312E-2</v>
      </c>
      <c r="Z81" s="3">
        <f>X81*Y81+X82*Y82</f>
        <v>0.15828296165574121</v>
      </c>
      <c r="AA81" s="3">
        <f>1/(1+EXP(-Z81))</f>
        <v>0.53948833142238617</v>
      </c>
      <c r="AB81" s="3">
        <f>AA81</f>
        <v>0.53948833142238617</v>
      </c>
      <c r="AC81" s="3">
        <f>AC66 +  $P$19 * AB66 * AB75</f>
        <v>1.5093087362806472E-2</v>
      </c>
      <c r="AD81" s="3">
        <f>AB81*AC81+AB82*AC82</f>
        <v>0.13129468864052946</v>
      </c>
      <c r="AE81" s="3">
        <f>1/(1+EXP(-AD81))</f>
        <v>0.53277660128792814</v>
      </c>
    </row>
    <row r="82" spans="2:31" x14ac:dyDescent="0.3">
      <c r="B82" s="3">
        <f>$B$5</f>
        <v>0.1</v>
      </c>
      <c r="C82" s="3">
        <f>C67 + $O$7 * B67 * B75</f>
        <v>0.19998680281229461</v>
      </c>
      <c r="D82" s="3">
        <f>B81*C83+B82*C84</f>
        <v>6.9996311458674021E-2</v>
      </c>
      <c r="E82" s="3">
        <f>1/(1+EXP(-D82))</f>
        <v>0.51749193665969273</v>
      </c>
      <c r="F82" s="3">
        <f>E82</f>
        <v>0.51749193665969273</v>
      </c>
      <c r="G82" s="3">
        <f>G67 + $O$7 * F67 * F75</f>
        <v>0.199813279854441</v>
      </c>
      <c r="H82" s="3">
        <f>F81*G83+F82*G84</f>
        <v>0.35863457547346611</v>
      </c>
      <c r="I82" s="3">
        <f>1/(1+EXP(-H82))</f>
        <v>0.58870986314546847</v>
      </c>
      <c r="J82" s="3">
        <f>I82</f>
        <v>0.58870986314546847</v>
      </c>
      <c r="K82" s="3">
        <f>K67 + $P$18 * J67 * J76</f>
        <v>0.20840889733712384</v>
      </c>
      <c r="L82" s="3"/>
      <c r="M82" s="3"/>
      <c r="T82" s="3">
        <f t="shared" si="20"/>
        <v>0.2</v>
      </c>
      <c r="U82" s="3">
        <f>U67 + $O$7 * T67 * T75</f>
        <v>0.19998413788277714</v>
      </c>
      <c r="V82" s="3">
        <f>T81*U83+T82*U84</f>
        <v>0.13999117944608952</v>
      </c>
      <c r="W82" s="3">
        <f>1/(1+EXP(-V82))</f>
        <v>0.53494075078903991</v>
      </c>
      <c r="X82" s="3">
        <f>W82</f>
        <v>0.53494075078903991</v>
      </c>
      <c r="Y82" s="3">
        <f>Y67 + $O$7 * X67 * X75</f>
        <v>0.19980231137891985</v>
      </c>
      <c r="Z82" s="3">
        <f>X81*Y83+X82*Y84</f>
        <v>0.36775320546576712</v>
      </c>
      <c r="AA82" s="3">
        <f>1/(1+EXP(-Z82))</f>
        <v>0.5909159623062773</v>
      </c>
      <c r="AB82" s="3">
        <f>AA82</f>
        <v>0.5909159623062773</v>
      </c>
      <c r="AC82" s="3">
        <f>AC67 +  $P$19 * AB67 * AB76</f>
        <v>0.20840889733712384</v>
      </c>
      <c r="AD82" s="3"/>
      <c r="AE82" s="3"/>
    </row>
    <row r="83" spans="2:31" x14ac:dyDescent="0.3">
      <c r="B83" s="3">
        <f>$B$6</f>
        <v>0.1</v>
      </c>
      <c r="C83" s="3">
        <f>C68 + $O$7 * B66 * B76</f>
        <v>0.29998155729337006</v>
      </c>
      <c r="D83" s="3"/>
      <c r="E83" s="3"/>
      <c r="F83" s="3"/>
      <c r="G83" s="3">
        <f>G68 + $O$7 * F66 * F76</f>
        <v>0.2994110505811895</v>
      </c>
      <c r="H83" s="3"/>
      <c r="I83" s="3"/>
      <c r="J83" s="3"/>
      <c r="K83" s="3"/>
      <c r="L83" s="3"/>
      <c r="M83" s="3"/>
      <c r="T83" s="3">
        <f t="shared" si="20"/>
        <v>0.2</v>
      </c>
      <c r="U83" s="3">
        <f>U68 + $O$7 * T66 * T76</f>
        <v>0.29997794861522376</v>
      </c>
      <c r="V83" s="3"/>
      <c r="W83" s="3"/>
      <c r="X83" s="3"/>
      <c r="Y83" s="3">
        <f>Y68 + $O$7 * X66 * X76</f>
        <v>0.29932281356622886</v>
      </c>
      <c r="Z83" s="3"/>
      <c r="AA83" s="3"/>
      <c r="AB83" s="3"/>
      <c r="AC83" s="3"/>
      <c r="AD83" s="3"/>
      <c r="AE83" s="3"/>
    </row>
    <row r="84" spans="2:31" x14ac:dyDescent="0.3">
      <c r="B84" s="3">
        <f>$B$7</f>
        <v>0.1</v>
      </c>
      <c r="C84" s="3">
        <f>C69 + $O$7 * B67* B76</f>
        <v>0.39998155729337009</v>
      </c>
      <c r="D84" s="3"/>
      <c r="E84" s="3"/>
      <c r="F84" s="3"/>
      <c r="G84" s="3">
        <f>G69 + $O$7 * F67* F76</f>
        <v>0.39939527283444132</v>
      </c>
      <c r="H84" s="3"/>
      <c r="I84" s="3"/>
      <c r="J84" s="3"/>
      <c r="K84" s="3"/>
      <c r="L84" s="3"/>
      <c r="M84" s="3"/>
      <c r="T84" s="3">
        <f t="shared" si="20"/>
        <v>0.2</v>
      </c>
      <c r="U84" s="3">
        <f>U69 + $O$7 * T67* T76</f>
        <v>0.39997794861522379</v>
      </c>
      <c r="V84" s="3"/>
      <c r="W84" s="3"/>
      <c r="X84" s="3"/>
      <c r="Y84" s="3">
        <f>Y69 + $O$7 * X67* X76</f>
        <v>0.39930361819392901</v>
      </c>
      <c r="Z84" s="3"/>
      <c r="AA84" s="3"/>
      <c r="AB84" s="3"/>
      <c r="AC84" s="3"/>
      <c r="AD84" s="3"/>
      <c r="AE84" s="3"/>
    </row>
    <row r="85" spans="2:31" x14ac:dyDescent="0.3">
      <c r="B85" s="3">
        <f>$B$8</f>
        <v>0.1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T85" s="3">
        <f t="shared" si="20"/>
        <v>0.2</v>
      </c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spans="2:31" x14ac:dyDescent="0.3">
      <c r="B86" s="3">
        <f>$B$9</f>
        <v>0.1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T86" s="3">
        <f t="shared" si="20"/>
        <v>0.2</v>
      </c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spans="2:31" x14ac:dyDescent="0.3">
      <c r="B87" s="3">
        <f>$B$10</f>
        <v>0.1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T87" s="3">
        <f t="shared" si="20"/>
        <v>0.2</v>
      </c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spans="2:31" x14ac:dyDescent="0.3">
      <c r="B88" s="3">
        <f>$B$11</f>
        <v>0.1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T88" s="3">
        <f>$B$11</f>
        <v>0.1</v>
      </c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94" spans="2:31" x14ac:dyDescent="0.3">
      <c r="B94" s="8" t="s">
        <v>4</v>
      </c>
      <c r="C94" s="8"/>
      <c r="D94" s="8"/>
      <c r="E94" s="8"/>
      <c r="F94" s="8" t="s">
        <v>5</v>
      </c>
      <c r="G94" s="8"/>
      <c r="H94" s="8"/>
      <c r="I94" s="8"/>
      <c r="J94" s="8" t="s">
        <v>6</v>
      </c>
      <c r="K94" s="8"/>
      <c r="L94" s="8"/>
      <c r="M94" s="8"/>
      <c r="T94" s="9" t="s">
        <v>4</v>
      </c>
      <c r="U94" s="10"/>
      <c r="V94" s="10"/>
      <c r="W94" s="11"/>
      <c r="X94" s="9" t="s">
        <v>5</v>
      </c>
      <c r="Y94" s="10"/>
      <c r="Z94" s="10"/>
      <c r="AA94" s="11"/>
      <c r="AB94" s="9" t="s">
        <v>6</v>
      </c>
      <c r="AC94" s="10"/>
      <c r="AD94" s="10"/>
      <c r="AE94" s="11"/>
    </row>
    <row r="95" spans="2:31" x14ac:dyDescent="0.3"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T95" s="12"/>
      <c r="U95" s="13"/>
      <c r="V95" s="13"/>
      <c r="W95" s="14"/>
      <c r="X95" s="12"/>
      <c r="Y95" s="13"/>
      <c r="Z95" s="13"/>
      <c r="AA95" s="14"/>
      <c r="AB95" s="12"/>
      <c r="AC95" s="13"/>
      <c r="AD95" s="13"/>
      <c r="AE95" s="14"/>
    </row>
    <row r="96" spans="2:31" x14ac:dyDescent="0.3">
      <c r="B96" s="3" t="s">
        <v>0</v>
      </c>
      <c r="C96" s="3" t="s">
        <v>1</v>
      </c>
      <c r="D96" s="3" t="s">
        <v>2</v>
      </c>
      <c r="E96" s="3" t="s">
        <v>3</v>
      </c>
      <c r="F96" s="3" t="s">
        <v>0</v>
      </c>
      <c r="G96" s="3" t="s">
        <v>1</v>
      </c>
      <c r="H96" s="3" t="s">
        <v>2</v>
      </c>
      <c r="I96" s="3" t="s">
        <v>3</v>
      </c>
      <c r="J96" s="3" t="s">
        <v>0</v>
      </c>
      <c r="K96" s="3" t="s">
        <v>1</v>
      </c>
      <c r="L96" s="3" t="s">
        <v>2</v>
      </c>
      <c r="M96" s="3" t="s">
        <v>3</v>
      </c>
      <c r="T96" s="3" t="s">
        <v>0</v>
      </c>
      <c r="U96" s="3" t="s">
        <v>1</v>
      </c>
      <c r="V96" s="3" t="s">
        <v>2</v>
      </c>
      <c r="W96" s="3" t="s">
        <v>3</v>
      </c>
      <c r="X96" s="3" t="s">
        <v>0</v>
      </c>
      <c r="Y96" s="3" t="s">
        <v>1</v>
      </c>
      <c r="Z96" s="3" t="s">
        <v>2</v>
      </c>
      <c r="AA96" s="3" t="s">
        <v>3</v>
      </c>
      <c r="AB96" s="3" t="s">
        <v>0</v>
      </c>
      <c r="AC96" s="3" t="s">
        <v>1</v>
      </c>
      <c r="AD96" s="3" t="s">
        <v>2</v>
      </c>
      <c r="AE96" s="3" t="s">
        <v>3</v>
      </c>
    </row>
    <row r="97" spans="1:31" x14ac:dyDescent="0.3">
      <c r="B97" s="3">
        <f>$B$4</f>
        <v>0.1</v>
      </c>
      <c r="C97" s="3">
        <f>U81</f>
        <v>9.9984137882777158E-2</v>
      </c>
      <c r="D97" s="3">
        <f>B97*C97+B98*C98</f>
        <v>2.9996827576555432E-2</v>
      </c>
      <c r="E97" s="3">
        <f>1/(1+EXP(-D97))</f>
        <v>0.50749864462316252</v>
      </c>
      <c r="F97" s="3">
        <f>E97</f>
        <v>0.50749864462316252</v>
      </c>
      <c r="G97" s="3">
        <f>Y81</f>
        <v>9.9808097760225312E-2</v>
      </c>
      <c r="H97" s="3">
        <f>F97*G97+F98*G98</f>
        <v>0.15404852339330039</v>
      </c>
      <c r="I97" s="3">
        <f>1/(1+EXP(-H97))</f>
        <v>0.53843615037230408</v>
      </c>
      <c r="J97" s="3">
        <f>I97</f>
        <v>0.53843615037230408</v>
      </c>
      <c r="K97" s="3">
        <f>AC81</f>
        <v>1.5093087362806472E-2</v>
      </c>
      <c r="L97" s="3">
        <f>J97*K97+J98*K98</f>
        <v>0.13081437845281718</v>
      </c>
      <c r="M97" s="3">
        <f>1/(1+EXP(-L97))</f>
        <v>0.53265703786093987</v>
      </c>
      <c r="T97" s="3">
        <f>$O$19</f>
        <v>0.2</v>
      </c>
      <c r="U97" s="3">
        <f>C112</f>
        <v>9.9979005507982915E-2</v>
      </c>
      <c r="V97" s="3">
        <f>T97*U97+T98*U98</f>
        <v>5.9991602203193169E-2</v>
      </c>
      <c r="W97" s="3">
        <f>1/(1+EXP(-V97))</f>
        <v>0.5149934040583154</v>
      </c>
      <c r="X97" s="3">
        <f>W97</f>
        <v>0.5149934040583154</v>
      </c>
      <c r="Y97" s="3">
        <f>G112</f>
        <v>9.9782844976133572E-2</v>
      </c>
      <c r="Z97" s="3">
        <f>X97*Y97+X98*Y98</f>
        <v>0.15825599309288635</v>
      </c>
      <c r="AA97" s="3">
        <f>1/(1+EXP(-Z97))</f>
        <v>0.53948163132738136</v>
      </c>
      <c r="AB97" s="3">
        <f>AA97</f>
        <v>0.53948163132738136</v>
      </c>
      <c r="AC97" s="3">
        <f>K112</f>
        <v>-1.3477850551448506E-2</v>
      </c>
      <c r="AD97" s="3">
        <f>AB97*AC97+AB98*AC98</f>
        <v>0.11586291858411121</v>
      </c>
      <c r="AE97" s="3">
        <f>1/(1+EXP(-AD97))</f>
        <v>0.52893336956882075</v>
      </c>
    </row>
    <row r="98" spans="1:31" x14ac:dyDescent="0.3">
      <c r="B98" s="3">
        <f>$B$5</f>
        <v>0.1</v>
      </c>
      <c r="C98" s="3">
        <f>U82</f>
        <v>0.19998413788277714</v>
      </c>
      <c r="D98" s="3">
        <f>B97*C99+B98*C100</f>
        <v>6.999558972304476E-2</v>
      </c>
      <c r="E98" s="3">
        <f>1/(1+EXP(-D98))</f>
        <v>0.51749175644661105</v>
      </c>
      <c r="F98" s="3">
        <f>E98</f>
        <v>0.51749175644661105</v>
      </c>
      <c r="G98" s="3">
        <f t="shared" ref="G98:G100" si="21">Y82</f>
        <v>0.19980231137891985</v>
      </c>
      <c r="H98" s="3">
        <f>F97*G99+F98*G100</f>
        <v>0.35854225292431596</v>
      </c>
      <c r="I98" s="3">
        <f>1/(1+EXP(-H98))</f>
        <v>0.5886875088518615</v>
      </c>
      <c r="J98" s="3">
        <f>I98</f>
        <v>0.5886875088518615</v>
      </c>
      <c r="K98" s="3">
        <f>AC82</f>
        <v>0.20840889733712384</v>
      </c>
      <c r="L98" s="3"/>
      <c r="M98" s="3"/>
      <c r="T98" s="3">
        <f t="shared" ref="T98:T104" si="22">$O$19</f>
        <v>0.2</v>
      </c>
      <c r="U98" s="3">
        <f t="shared" ref="U98:U100" si="23">C113</f>
        <v>0.19997900550798289</v>
      </c>
      <c r="V98" s="3">
        <f>T97*U99+T98*U100</f>
        <v>0.13998841037238774</v>
      </c>
      <c r="W98" s="3">
        <f>1/(1+EXP(-V98))</f>
        <v>0.53494006190118826</v>
      </c>
      <c r="X98" s="3">
        <f>W98</f>
        <v>0.53494006190118826</v>
      </c>
      <c r="Y98" s="3">
        <f t="shared" ref="Y98:Y100" si="24">G113</f>
        <v>0.19977656134444538</v>
      </c>
      <c r="Z98" s="3">
        <f>X97*Y99+X98*Y100</f>
        <v>0.36739250094387077</v>
      </c>
      <c r="AA98" s="3">
        <f>1/(1+EXP(-Z98))</f>
        <v>0.5908287647969791</v>
      </c>
      <c r="AB98" s="3">
        <f>AA98</f>
        <v>0.5908287647969791</v>
      </c>
      <c r="AC98" s="3">
        <f>K113</f>
        <v>0.20840889733712384</v>
      </c>
      <c r="AD98" s="3"/>
      <c r="AE98" s="3"/>
    </row>
    <row r="99" spans="1:31" x14ac:dyDescent="0.3">
      <c r="B99" s="3">
        <f>$B$6</f>
        <v>0.1</v>
      </c>
      <c r="C99" s="3">
        <f t="shared" ref="C99:C100" si="25">U83</f>
        <v>0.29997794861522376</v>
      </c>
      <c r="D99" s="3"/>
      <c r="E99" s="3"/>
      <c r="F99" s="3"/>
      <c r="G99" s="3">
        <f t="shared" si="21"/>
        <v>0.29932281356622886</v>
      </c>
      <c r="H99" s="3"/>
      <c r="I99" s="3"/>
      <c r="J99" s="3"/>
      <c r="K99" s="3"/>
      <c r="L99" s="3"/>
      <c r="M99" s="3"/>
      <c r="T99" s="3">
        <f t="shared" si="22"/>
        <v>0.2</v>
      </c>
      <c r="U99" s="3">
        <f t="shared" si="23"/>
        <v>0.2999710259309693</v>
      </c>
      <c r="V99" s="3"/>
      <c r="W99" s="3"/>
      <c r="X99" s="3"/>
      <c r="Y99" s="3">
        <f t="shared" si="24"/>
        <v>0.29898308023492964</v>
      </c>
      <c r="Z99" s="3"/>
      <c r="AA99" s="3"/>
      <c r="AB99" s="3"/>
      <c r="AC99" s="3"/>
      <c r="AD99" s="3"/>
      <c r="AE99" s="3"/>
    </row>
    <row r="100" spans="1:31" x14ac:dyDescent="0.3">
      <c r="B100" s="3">
        <f>$B$7</f>
        <v>0.1</v>
      </c>
      <c r="C100" s="3">
        <f t="shared" si="25"/>
        <v>0.39997794861522379</v>
      </c>
      <c r="D100" s="3"/>
      <c r="E100" s="3"/>
      <c r="F100" s="3"/>
      <c r="G100" s="3">
        <f t="shared" si="21"/>
        <v>0.39930361819392901</v>
      </c>
      <c r="H100" s="3"/>
      <c r="I100" s="3"/>
      <c r="J100" s="3"/>
      <c r="K100" s="3"/>
      <c r="L100" s="3"/>
      <c r="M100" s="3"/>
      <c r="T100" s="3">
        <f t="shared" si="22"/>
        <v>0.2</v>
      </c>
      <c r="U100" s="3">
        <f t="shared" si="23"/>
        <v>0.39997102593096934</v>
      </c>
      <c r="V100" s="3"/>
      <c r="W100" s="3"/>
      <c r="X100" s="3"/>
      <c r="Y100" s="3">
        <f t="shared" si="24"/>
        <v>0.39895719520304979</v>
      </c>
      <c r="Z100" s="3"/>
      <c r="AA100" s="3"/>
      <c r="AB100" s="3"/>
      <c r="AC100" s="3"/>
      <c r="AD100" s="3"/>
      <c r="AE100" s="3"/>
    </row>
    <row r="101" spans="1:31" x14ac:dyDescent="0.3">
      <c r="B101" s="3">
        <f>$B$8</f>
        <v>0.1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T101" s="3">
        <f t="shared" si="22"/>
        <v>0.2</v>
      </c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spans="1:31" x14ac:dyDescent="0.3">
      <c r="B102" s="3">
        <f>$B$9</f>
        <v>0.1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T102" s="3">
        <f t="shared" si="22"/>
        <v>0.2</v>
      </c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spans="1:31" x14ac:dyDescent="0.3">
      <c r="B103" s="3">
        <f>$B$10</f>
        <v>0.1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T103" s="3">
        <f t="shared" si="22"/>
        <v>0.2</v>
      </c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spans="1:31" x14ac:dyDescent="0.3">
      <c r="B104" s="3">
        <f>$B$11</f>
        <v>0.1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T104" s="3">
        <f t="shared" si="22"/>
        <v>0.2</v>
      </c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6" spans="1:31" x14ac:dyDescent="0.3">
      <c r="A106" s="4" t="s">
        <v>7</v>
      </c>
      <c r="B106" s="5">
        <f>E97 * (1 - E97) * (G97 * F106 + G99 * F107)</f>
        <v>-5.1323747942374597E-4</v>
      </c>
      <c r="C106" s="6"/>
      <c r="D106" s="6"/>
      <c r="E106" s="7"/>
      <c r="F106" s="5">
        <f>I97 * (1 - I97) * K97 *J106</f>
        <v>-4.9759313368183736E-4</v>
      </c>
      <c r="G106" s="6"/>
      <c r="H106" s="6"/>
      <c r="I106" s="7"/>
      <c r="J106" s="5">
        <f>$P$18 - M97</f>
        <v>-0.13265703786093985</v>
      </c>
      <c r="K106" s="6"/>
      <c r="L106" s="6"/>
      <c r="M106" s="7"/>
      <c r="S106" s="4" t="s">
        <v>7</v>
      </c>
      <c r="T106" s="5">
        <f>W97 * (1 - W97) * (Y97 * X106 + Y99 * X107)</f>
        <v>-1.064477856310851E-4</v>
      </c>
      <c r="U106" s="6"/>
      <c r="V106" s="6"/>
      <c r="W106" s="7"/>
      <c r="X106" s="5">
        <f>AA97 * (1 - AA97) * AC97 *AB106</f>
        <v>9.6882038983980674E-5</v>
      </c>
      <c r="Y106" s="6"/>
      <c r="Z106" s="6"/>
      <c r="AA106" s="7"/>
      <c r="AB106" s="5">
        <f>$P$19 - AE97</f>
        <v>-2.8933369568820755E-2</v>
      </c>
      <c r="AC106" s="6"/>
      <c r="AD106" s="6"/>
      <c r="AE106" s="7"/>
    </row>
    <row r="107" spans="1:31" x14ac:dyDescent="0.3">
      <c r="B107" s="5">
        <f>E98 * (1 - E98) * (G98 * F106 + G100 * F107)</f>
        <v>-6.9226842544552604E-4</v>
      </c>
      <c r="C107" s="6"/>
      <c r="D107" s="6"/>
      <c r="E107" s="7"/>
      <c r="F107" s="5">
        <f>J98 * (1 - J98) * K98 * J106</f>
        <v>-6.6942707118261913E-3</v>
      </c>
      <c r="G107" s="6"/>
      <c r="H107" s="6"/>
      <c r="I107" s="7"/>
      <c r="T107" s="5">
        <f>W98 * (1 - W98) * (Y98 * X106 + Y100 * X107)</f>
        <v>-1.3986955276369545E-4</v>
      </c>
      <c r="U107" s="6"/>
      <c r="V107" s="6"/>
      <c r="W107" s="7"/>
      <c r="X107" s="5">
        <f>AB98 * (1 - AB98) * AC98 * AB106</f>
        <v>-1.4577464628981046E-3</v>
      </c>
      <c r="Y107" s="6"/>
      <c r="Z107" s="6"/>
      <c r="AA107" s="7"/>
    </row>
    <row r="109" spans="1:31" x14ac:dyDescent="0.3">
      <c r="B109" s="8" t="s">
        <v>4</v>
      </c>
      <c r="C109" s="8"/>
      <c r="D109" s="8"/>
      <c r="E109" s="8"/>
      <c r="F109" s="8" t="s">
        <v>5</v>
      </c>
      <c r="G109" s="8"/>
      <c r="H109" s="8"/>
      <c r="I109" s="8"/>
      <c r="J109" s="8" t="s">
        <v>6</v>
      </c>
      <c r="K109" s="8"/>
      <c r="L109" s="8"/>
      <c r="M109" s="8"/>
      <c r="T109" s="9" t="s">
        <v>4</v>
      </c>
      <c r="U109" s="10"/>
      <c r="V109" s="10"/>
      <c r="W109" s="11"/>
      <c r="X109" s="9" t="s">
        <v>5</v>
      </c>
      <c r="Y109" s="10"/>
      <c r="Z109" s="10"/>
      <c r="AA109" s="11"/>
      <c r="AB109" s="9" t="s">
        <v>6</v>
      </c>
      <c r="AC109" s="10"/>
      <c r="AD109" s="10"/>
      <c r="AE109" s="11"/>
    </row>
    <row r="110" spans="1:31" x14ac:dyDescent="0.3"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T110" s="12"/>
      <c r="U110" s="13"/>
      <c r="V110" s="13"/>
      <c r="W110" s="14"/>
      <c r="X110" s="12"/>
      <c r="Y110" s="13"/>
      <c r="Z110" s="13"/>
      <c r="AA110" s="14"/>
      <c r="AB110" s="12"/>
      <c r="AC110" s="13"/>
      <c r="AD110" s="13"/>
      <c r="AE110" s="14"/>
    </row>
    <row r="111" spans="1:31" x14ac:dyDescent="0.3">
      <c r="B111" s="3" t="s">
        <v>0</v>
      </c>
      <c r="C111" s="3" t="s">
        <v>1</v>
      </c>
      <c r="D111" s="3" t="s">
        <v>2</v>
      </c>
      <c r="E111" s="3" t="s">
        <v>3</v>
      </c>
      <c r="F111" s="3" t="s">
        <v>0</v>
      </c>
      <c r="G111" s="3" t="s">
        <v>1</v>
      </c>
      <c r="H111" s="3" t="s">
        <v>2</v>
      </c>
      <c r="I111" s="3" t="s">
        <v>3</v>
      </c>
      <c r="J111" s="3" t="s">
        <v>0</v>
      </c>
      <c r="K111" s="3" t="s">
        <v>1</v>
      </c>
      <c r="L111" s="3" t="s">
        <v>2</v>
      </c>
      <c r="M111" s="3" t="s">
        <v>3</v>
      </c>
      <c r="T111" s="3">
        <f>$O$19</f>
        <v>0.2</v>
      </c>
      <c r="U111" s="3" t="s">
        <v>1</v>
      </c>
      <c r="V111" s="3" t="s">
        <v>2</v>
      </c>
      <c r="W111" s="3" t="s">
        <v>3</v>
      </c>
      <c r="X111" s="3" t="s">
        <v>0</v>
      </c>
      <c r="Y111" s="3" t="s">
        <v>1</v>
      </c>
      <c r="Z111" s="3" t="s">
        <v>2</v>
      </c>
      <c r="AA111" s="3" t="s">
        <v>3</v>
      </c>
      <c r="AB111" s="3" t="s">
        <v>0</v>
      </c>
      <c r="AC111" s="3" t="s">
        <v>1</v>
      </c>
      <c r="AD111" s="3" t="s">
        <v>2</v>
      </c>
      <c r="AE111" s="3" t="s">
        <v>3</v>
      </c>
    </row>
    <row r="112" spans="1:31" x14ac:dyDescent="0.3">
      <c r="B112" s="3">
        <f>$B$4</f>
        <v>0.1</v>
      </c>
      <c r="C112" s="3">
        <f>C97 + $O$7 * B97 * B106</f>
        <v>9.9979005507982915E-2</v>
      </c>
      <c r="D112" s="3">
        <f>B112*C112+B113*C113</f>
        <v>2.9995801101596584E-2</v>
      </c>
      <c r="E112" s="3">
        <f>1/(1+EXP(-D112))</f>
        <v>0.50749838806213909</v>
      </c>
      <c r="F112" s="3">
        <f>E112</f>
        <v>0.50749838806213909</v>
      </c>
      <c r="G112" s="3">
        <f>G97 + $O$7 * F97 * F106</f>
        <v>9.9782844976133572E-2</v>
      </c>
      <c r="H112" s="3">
        <f>F112*G112+F113*G113</f>
        <v>0.15402228754376718</v>
      </c>
      <c r="I112" s="3">
        <f>1/(1+EXP(-H112))</f>
        <v>0.53842963016255452</v>
      </c>
      <c r="J112" s="3">
        <f>I112</f>
        <v>0.53842963016255452</v>
      </c>
      <c r="K112" s="3">
        <f>K97 + $P$18 * J97 * J106</f>
        <v>-1.3477850551448506E-2</v>
      </c>
      <c r="L112" s="3">
        <f>J112*K112+J113*K113</f>
        <v>0.11541308203423549</v>
      </c>
      <c r="M112" s="3">
        <f>1/(1+EXP(-L112))</f>
        <v>0.52882128555054908</v>
      </c>
      <c r="T112" s="3">
        <f t="shared" ref="T112:T118" si="26">$O$19</f>
        <v>0.2</v>
      </c>
      <c r="U112" s="3">
        <f>U97 + $O$7 * T97 * T106</f>
        <v>9.9976876552270291E-2</v>
      </c>
      <c r="V112" s="3">
        <f>T112*U112+T113*U113</f>
        <v>5.9990750620908119E-2</v>
      </c>
      <c r="W112" s="3">
        <f>1/(1+EXP(-V112))</f>
        <v>0.51499319135417898</v>
      </c>
      <c r="X112" s="3">
        <f>W112</f>
        <v>0.51499319135417898</v>
      </c>
      <c r="Y112" s="3">
        <f>Y97 + $O$7 * X97 * X106</f>
        <v>9.9787834337238424E-2</v>
      </c>
      <c r="Z112" s="3">
        <f>X112*Y112+X113*Y113</f>
        <v>0.15826125812665481</v>
      </c>
      <c r="AA112" s="3">
        <f>1/(1+EXP(-Z112))</f>
        <v>0.53948293937842107</v>
      </c>
      <c r="AB112" s="3">
        <f>AA112</f>
        <v>0.53948293937842107</v>
      </c>
      <c r="AC112" s="3">
        <f>AC97 +  $P$19 * AB97 * AB106</f>
        <v>-2.1282361258841222E-2</v>
      </c>
      <c r="AD112" s="3">
        <f>AB112*AC112+AB113*AC113</f>
        <v>0.11164844212099943</v>
      </c>
      <c r="AE112" s="3">
        <f>1/(1+EXP(-AD112))</f>
        <v>0.52788315205134151</v>
      </c>
    </row>
    <row r="113" spans="2:31" x14ac:dyDescent="0.3">
      <c r="B113" s="3">
        <f>$B$5</f>
        <v>0.1</v>
      </c>
      <c r="C113" s="3">
        <f>C98 + $O$7 * B98 * B106</f>
        <v>0.19997900550798289</v>
      </c>
      <c r="D113" s="3">
        <f>B112*C114+B113*C115</f>
        <v>6.999420518619387E-2</v>
      </c>
      <c r="E113" s="3">
        <f>1/(1+EXP(-D113))</f>
        <v>0.51749141073600491</v>
      </c>
      <c r="F113" s="3">
        <f>E113</f>
        <v>0.51749141073600491</v>
      </c>
      <c r="G113" s="3">
        <f>G98 + $O$7 * F98 * F106</f>
        <v>0.19977656134444538</v>
      </c>
      <c r="H113" s="3">
        <f>F112*G114+F113*G115</f>
        <v>0.3581903530459859</v>
      </c>
      <c r="I113" s="3">
        <f>1/(1+EXP(-H113))</f>
        <v>0.58860229908325945</v>
      </c>
      <c r="J113" s="3">
        <f>I113</f>
        <v>0.58860229908325945</v>
      </c>
      <c r="K113" s="3">
        <f>K98 + $P$18 * J98 * J107</f>
        <v>0.20840889733712384</v>
      </c>
      <c r="L113" s="3"/>
      <c r="M113" s="3"/>
      <c r="T113" s="3">
        <f t="shared" si="26"/>
        <v>0.2</v>
      </c>
      <c r="U113" s="3">
        <f>U98 + $O$7 * T98 * T106</f>
        <v>0.19997687655227028</v>
      </c>
      <c r="V113" s="3">
        <f>T112*U114+T113*U115</f>
        <v>0.13998729141596561</v>
      </c>
      <c r="W113" s="3">
        <f>1/(1+EXP(-V113))</f>
        <v>0.53493978352810267</v>
      </c>
      <c r="X113" s="3">
        <f>W113</f>
        <v>0.53493978352810267</v>
      </c>
      <c r="Y113" s="3">
        <f>Y98 + $O$7 * X98 * X106</f>
        <v>0.19978174395283851</v>
      </c>
      <c r="Z113" s="3">
        <f>X112*Y114+X113*Y115</f>
        <v>0.36731194923788063</v>
      </c>
      <c r="AA113" s="3">
        <f>1/(1+EXP(-Z113))</f>
        <v>0.59080929126867665</v>
      </c>
      <c r="AB113" s="3">
        <f>AA113</f>
        <v>0.59080929126867665</v>
      </c>
      <c r="AC113" s="3">
        <f>AC98 +  $P$19 * AB98 * AB107</f>
        <v>0.20840889733712384</v>
      </c>
      <c r="AD113" s="3"/>
      <c r="AE113" s="3"/>
    </row>
    <row r="114" spans="2:31" x14ac:dyDescent="0.3">
      <c r="B114" s="3">
        <f>$B$6</f>
        <v>0.1</v>
      </c>
      <c r="C114" s="3">
        <f>C99 + $O$7 * B97 * B107</f>
        <v>0.2999710259309693</v>
      </c>
      <c r="D114" s="3"/>
      <c r="E114" s="3"/>
      <c r="F114" s="3"/>
      <c r="G114" s="3">
        <f>G99 + $O$7 * F97 * F107</f>
        <v>0.29898308023492964</v>
      </c>
      <c r="H114" s="3"/>
      <c r="I114" s="3"/>
      <c r="J114" s="3"/>
      <c r="K114" s="3"/>
      <c r="L114" s="3"/>
      <c r="M114" s="3"/>
      <c r="T114" s="3">
        <f t="shared" si="26"/>
        <v>0.2</v>
      </c>
      <c r="U114" s="3">
        <f>U99 + $O$7 * T97 * T107</f>
        <v>0.29996822853991401</v>
      </c>
      <c r="V114" s="3"/>
      <c r="W114" s="3"/>
      <c r="X114" s="3"/>
      <c r="Y114" s="3">
        <f>Y99 + $O$7 * X97 * X107</f>
        <v>0.29890800725361144</v>
      </c>
      <c r="Z114" s="3"/>
      <c r="AA114" s="3"/>
      <c r="AB114" s="3"/>
      <c r="AC114" s="3"/>
      <c r="AD114" s="3"/>
      <c r="AE114" s="3"/>
    </row>
    <row r="115" spans="2:31" x14ac:dyDescent="0.3">
      <c r="B115" s="3">
        <f>$B$7</f>
        <v>0.1</v>
      </c>
      <c r="C115" s="3">
        <f>C100 + $O$7 * B98* B107</f>
        <v>0.39997102593096934</v>
      </c>
      <c r="D115" s="3"/>
      <c r="E115" s="3"/>
      <c r="F115" s="3"/>
      <c r="G115" s="3">
        <f>G100 + $O$7 * F98* F107</f>
        <v>0.39895719520304979</v>
      </c>
      <c r="H115" s="3"/>
      <c r="I115" s="3"/>
      <c r="J115" s="3"/>
      <c r="K115" s="3"/>
      <c r="L115" s="3"/>
      <c r="M115" s="3"/>
      <c r="T115" s="3">
        <f t="shared" si="26"/>
        <v>0.2</v>
      </c>
      <c r="U115" s="3">
        <f>U100 + $O$7 * T98* T107</f>
        <v>0.39996822853991404</v>
      </c>
      <c r="V115" s="3"/>
      <c r="W115" s="3"/>
      <c r="X115" s="3"/>
      <c r="Y115" s="3">
        <f>Y100 + $O$7 * X98* X107</f>
        <v>0.3988792145047399</v>
      </c>
      <c r="Z115" s="3"/>
      <c r="AA115" s="3"/>
      <c r="AB115" s="3"/>
      <c r="AC115" s="3"/>
      <c r="AD115" s="3"/>
      <c r="AE115" s="3"/>
    </row>
    <row r="116" spans="2:31" x14ac:dyDescent="0.3">
      <c r="B116" s="3">
        <f>$B$8</f>
        <v>0.1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T116" s="3">
        <f t="shared" si="26"/>
        <v>0.2</v>
      </c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spans="2:31" x14ac:dyDescent="0.3">
      <c r="B117" s="3">
        <f>$B$9</f>
        <v>0.1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T117" s="3">
        <f t="shared" si="26"/>
        <v>0.2</v>
      </c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spans="2:31" x14ac:dyDescent="0.3">
      <c r="B118" s="3">
        <f>$B$10</f>
        <v>0.1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T118" s="3">
        <f t="shared" si="26"/>
        <v>0.2</v>
      </c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spans="2:31" x14ac:dyDescent="0.3">
      <c r="B119" s="3">
        <f>$B$11</f>
        <v>0.1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T119" s="3">
        <f>$B$11</f>
        <v>0.1</v>
      </c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5" spans="2:31" x14ac:dyDescent="0.3">
      <c r="B125" s="8" t="s">
        <v>4</v>
      </c>
      <c r="C125" s="8"/>
      <c r="D125" s="8"/>
      <c r="E125" s="8"/>
      <c r="F125" s="8" t="s">
        <v>5</v>
      </c>
      <c r="G125" s="8"/>
      <c r="H125" s="8"/>
      <c r="I125" s="8"/>
      <c r="J125" s="8" t="s">
        <v>6</v>
      </c>
      <c r="K125" s="8"/>
      <c r="L125" s="8"/>
      <c r="M125" s="8"/>
      <c r="T125" s="9" t="s">
        <v>4</v>
      </c>
      <c r="U125" s="10"/>
      <c r="V125" s="10"/>
      <c r="W125" s="11"/>
      <c r="X125" s="9" t="s">
        <v>5</v>
      </c>
      <c r="Y125" s="10"/>
      <c r="Z125" s="10"/>
      <c r="AA125" s="11"/>
      <c r="AB125" s="9" t="s">
        <v>6</v>
      </c>
      <c r="AC125" s="10"/>
      <c r="AD125" s="10"/>
      <c r="AE125" s="11"/>
    </row>
    <row r="126" spans="2:31" x14ac:dyDescent="0.3"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T126" s="12"/>
      <c r="U126" s="13"/>
      <c r="V126" s="13"/>
      <c r="W126" s="14"/>
      <c r="X126" s="12"/>
      <c r="Y126" s="13"/>
      <c r="Z126" s="13"/>
      <c r="AA126" s="14"/>
      <c r="AB126" s="12"/>
      <c r="AC126" s="13"/>
      <c r="AD126" s="13"/>
      <c r="AE126" s="14"/>
    </row>
    <row r="127" spans="2:31" x14ac:dyDescent="0.3">
      <c r="B127" s="3" t="s">
        <v>0</v>
      </c>
      <c r="C127" s="3" t="s">
        <v>1</v>
      </c>
      <c r="D127" s="3" t="s">
        <v>2</v>
      </c>
      <c r="E127" s="3" t="s">
        <v>3</v>
      </c>
      <c r="F127" s="3" t="s">
        <v>0</v>
      </c>
      <c r="G127" s="3" t="s">
        <v>1</v>
      </c>
      <c r="H127" s="3" t="s">
        <v>2</v>
      </c>
      <c r="I127" s="3" t="s">
        <v>3</v>
      </c>
      <c r="J127" s="3" t="s">
        <v>0</v>
      </c>
      <c r="K127" s="3" t="s">
        <v>1</v>
      </c>
      <c r="L127" s="3" t="s">
        <v>2</v>
      </c>
      <c r="M127" s="3" t="s">
        <v>3</v>
      </c>
      <c r="T127" s="3" t="s">
        <v>0</v>
      </c>
      <c r="U127" s="3" t="s">
        <v>1</v>
      </c>
      <c r="V127" s="3" t="s">
        <v>2</v>
      </c>
      <c r="W127" s="3" t="s">
        <v>3</v>
      </c>
      <c r="X127" s="3" t="s">
        <v>0</v>
      </c>
      <c r="Y127" s="3" t="s">
        <v>1</v>
      </c>
      <c r="Z127" s="3" t="s">
        <v>2</v>
      </c>
      <c r="AA127" s="3" t="s">
        <v>3</v>
      </c>
      <c r="AB127" s="3" t="s">
        <v>0</v>
      </c>
      <c r="AC127" s="3" t="s">
        <v>1</v>
      </c>
      <c r="AD127" s="3" t="s">
        <v>2</v>
      </c>
      <c r="AE127" s="3" t="s">
        <v>3</v>
      </c>
    </row>
    <row r="128" spans="2:31" x14ac:dyDescent="0.3">
      <c r="B128" s="3">
        <f>$B$4</f>
        <v>0.1</v>
      </c>
      <c r="C128" s="3">
        <f>U112</f>
        <v>9.9976876552270291E-2</v>
      </c>
      <c r="D128" s="3">
        <f>B128*C128+B129*C129</f>
        <v>2.9995375310454059E-2</v>
      </c>
      <c r="E128" s="3">
        <f>1/(1+EXP(-D128))</f>
        <v>0.50749828163829358</v>
      </c>
      <c r="F128" s="3">
        <f>E128</f>
        <v>0.50749828163829358</v>
      </c>
      <c r="G128" s="3">
        <f>Y112</f>
        <v>9.9787834337238424E-2</v>
      </c>
      <c r="H128" s="3">
        <f>F128*G128+F129*G129</f>
        <v>0.15402746306282253</v>
      </c>
      <c r="I128" s="3">
        <f>1/(1+EXP(-H128))</f>
        <v>0.53843091639866725</v>
      </c>
      <c r="J128" s="3">
        <f>I128</f>
        <v>0.53843091639866725</v>
      </c>
      <c r="K128" s="3">
        <f>AC112</f>
        <v>-2.1282361258841222E-2</v>
      </c>
      <c r="L128" s="3">
        <f>J128*K128+J129*K129</f>
        <v>0.11120691114304168</v>
      </c>
      <c r="M128" s="3">
        <f>1/(1+EXP(-L128))</f>
        <v>0.52777311123106063</v>
      </c>
      <c r="T128" s="3">
        <f>$O$19</f>
        <v>0.2</v>
      </c>
      <c r="U128" s="3">
        <f>C143</f>
        <v>9.9972227567482919E-2</v>
      </c>
      <c r="V128" s="3">
        <f>T128*U128+T129*U129</f>
        <v>5.9988891026993174E-2</v>
      </c>
      <c r="W128" s="3">
        <f>1/(1+EXP(-V128))</f>
        <v>0.51499272687371611</v>
      </c>
      <c r="X128" s="3">
        <f>W128</f>
        <v>0.51499272687371611</v>
      </c>
      <c r="Y128" s="3">
        <f>G143</f>
        <v>9.982213168659948E-2</v>
      </c>
      <c r="Z128" s="3">
        <f>X128*Y128+X129*Y129</f>
        <v>0.15829746194502131</v>
      </c>
      <c r="AA128" s="3">
        <f>1/(1+EXP(-Z128))</f>
        <v>0.53949193388193162</v>
      </c>
      <c r="AB128" s="3">
        <f>AA128</f>
        <v>0.53949193388193162</v>
      </c>
      <c r="AC128" s="3">
        <f>K143</f>
        <v>-4.8801158607340744E-2</v>
      </c>
      <c r="AD128" s="3">
        <f>AB128*AC128+AB129*AC129</f>
        <v>9.6784576768400216E-2</v>
      </c>
      <c r="AE128" s="3">
        <f>1/(1+EXP(-AD128))</f>
        <v>0.52417727424821492</v>
      </c>
    </row>
    <row r="129" spans="1:31" x14ac:dyDescent="0.3">
      <c r="B129" s="3">
        <f>$B$5</f>
        <v>0.1</v>
      </c>
      <c r="C129" s="3">
        <f>U113</f>
        <v>0.19997687655227028</v>
      </c>
      <c r="D129" s="3">
        <f>B128*C130+B129*C131</f>
        <v>6.9993645707982804E-2</v>
      </c>
      <c r="E129" s="3">
        <f>1/(1+EXP(-D129))</f>
        <v>0.51749127103762282</v>
      </c>
      <c r="F129" s="3">
        <f>E129</f>
        <v>0.51749127103762282</v>
      </c>
      <c r="G129" s="3">
        <f t="shared" ref="G129:G131" si="27">Y113</f>
        <v>0.19978174395283851</v>
      </c>
      <c r="H129" s="3">
        <f>F128*G130+F129*G131</f>
        <v>0.35811181175368084</v>
      </c>
      <c r="I129" s="3">
        <f>1/(1+EXP(-H129))</f>
        <v>0.58858328020584261</v>
      </c>
      <c r="J129" s="3">
        <f>I129</f>
        <v>0.58858328020584261</v>
      </c>
      <c r="K129" s="3">
        <f>AC113</f>
        <v>0.20840889733712384</v>
      </c>
      <c r="L129" s="3"/>
      <c r="M129" s="3"/>
      <c r="T129" s="3">
        <f t="shared" ref="T129:T135" si="28">$O$19</f>
        <v>0.2</v>
      </c>
      <c r="U129" s="3">
        <f t="shared" ref="U129:U131" si="29">C144</f>
        <v>0.19997222756748292</v>
      </c>
      <c r="V129" s="3">
        <f>T128*U130+T129*U131</f>
        <v>0.13998485731842736</v>
      </c>
      <c r="W129" s="3">
        <f>1/(1+EXP(-V129))</f>
        <v>0.53493917797518487</v>
      </c>
      <c r="X129" s="3">
        <f>W129</f>
        <v>0.53493917797518487</v>
      </c>
      <c r="Y129" s="3">
        <f t="shared" ref="Y129:Y131" si="30">G144</f>
        <v>0.19981671664054257</v>
      </c>
      <c r="Z129" s="3">
        <f>X128*Y130+X129*Y131</f>
        <v>0.36696453121046169</v>
      </c>
      <c r="AA129" s="3">
        <f>1/(1+EXP(-Z129))</f>
        <v>0.59072529903560578</v>
      </c>
      <c r="AB129" s="3">
        <f>AA129</f>
        <v>0.59072529903560578</v>
      </c>
      <c r="AC129" s="3">
        <f>K144</f>
        <v>0.20840889733712384</v>
      </c>
      <c r="AD129" s="3"/>
      <c r="AE129" s="3"/>
    </row>
    <row r="130" spans="1:31" x14ac:dyDescent="0.3">
      <c r="B130" s="3">
        <f>$B$6</f>
        <v>0.1</v>
      </c>
      <c r="C130" s="3">
        <f t="shared" ref="C130:C131" si="31">U114</f>
        <v>0.29996822853991401</v>
      </c>
      <c r="D130" s="3"/>
      <c r="E130" s="3"/>
      <c r="F130" s="3"/>
      <c r="G130" s="3">
        <f t="shared" si="27"/>
        <v>0.29890800725361144</v>
      </c>
      <c r="H130" s="3"/>
      <c r="I130" s="3"/>
      <c r="J130" s="3"/>
      <c r="K130" s="3"/>
      <c r="L130" s="3"/>
      <c r="M130" s="3"/>
      <c r="T130" s="3">
        <f t="shared" si="28"/>
        <v>0.2</v>
      </c>
      <c r="U130" s="3">
        <f t="shared" si="29"/>
        <v>0.29996214329606841</v>
      </c>
      <c r="V130" s="3"/>
      <c r="W130" s="3"/>
      <c r="X130" s="3"/>
      <c r="Y130" s="3">
        <f t="shared" si="30"/>
        <v>0.29858075687325353</v>
      </c>
      <c r="Z130" s="3"/>
      <c r="AA130" s="3"/>
      <c r="AB130" s="3"/>
      <c r="AC130" s="3"/>
      <c r="AD130" s="3"/>
      <c r="AE130" s="3"/>
    </row>
    <row r="131" spans="1:31" x14ac:dyDescent="0.3">
      <c r="B131" s="3">
        <f>$B$7</f>
        <v>0.1</v>
      </c>
      <c r="C131" s="3">
        <f t="shared" si="31"/>
        <v>0.39996822853991404</v>
      </c>
      <c r="D131" s="3"/>
      <c r="E131" s="3"/>
      <c r="F131" s="3"/>
      <c r="G131" s="3">
        <f t="shared" si="27"/>
        <v>0.3988792145047399</v>
      </c>
      <c r="H131" s="3"/>
      <c r="I131" s="3"/>
      <c r="J131" s="3"/>
      <c r="K131" s="3"/>
      <c r="L131" s="3"/>
      <c r="M131" s="3"/>
      <c r="T131" s="3">
        <f t="shared" si="28"/>
        <v>0.2</v>
      </c>
      <c r="U131" s="3">
        <f t="shared" si="29"/>
        <v>0.39996214329606844</v>
      </c>
      <c r="V131" s="3"/>
      <c r="W131" s="3"/>
      <c r="X131" s="3"/>
      <c r="Y131" s="3">
        <f t="shared" si="30"/>
        <v>0.39854552033984092</v>
      </c>
      <c r="Z131" s="3"/>
      <c r="AA131" s="3"/>
      <c r="AB131" s="3"/>
      <c r="AC131" s="3"/>
      <c r="AD131" s="3"/>
      <c r="AE131" s="3"/>
    </row>
    <row r="132" spans="1:31" x14ac:dyDescent="0.3">
      <c r="B132" s="3">
        <f>$B$8</f>
        <v>0.1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T132" s="3">
        <f t="shared" si="28"/>
        <v>0.2</v>
      </c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spans="1:31" x14ac:dyDescent="0.3">
      <c r="B133" s="3">
        <f>$B$9</f>
        <v>0.1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T133" s="3">
        <f t="shared" si="28"/>
        <v>0.2</v>
      </c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spans="1:31" x14ac:dyDescent="0.3">
      <c r="B134" s="3">
        <f>$B$10</f>
        <v>0.1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T134" s="3">
        <f t="shared" si="28"/>
        <v>0.2</v>
      </c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spans="1:31" x14ac:dyDescent="0.3">
      <c r="B135" s="3">
        <f>$B$11</f>
        <v>0.1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T135" s="3">
        <f t="shared" si="28"/>
        <v>0.2</v>
      </c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7" spans="1:31" x14ac:dyDescent="0.3">
      <c r="A137" s="4" t="s">
        <v>7</v>
      </c>
      <c r="B137" s="5">
        <f>E128 * (1 - E128) * (G128 * F137 + G130 * F138)</f>
        <v>-4.6489847873658834E-4</v>
      </c>
      <c r="C137" s="6"/>
      <c r="D137" s="6"/>
      <c r="E137" s="7"/>
      <c r="F137" s="5">
        <f>I128 * (1 - I128) * K128 *J137</f>
        <v>6.7581212788234211E-4</v>
      </c>
      <c r="G137" s="6"/>
      <c r="H137" s="6"/>
      <c r="I137" s="7"/>
      <c r="J137" s="5">
        <f>$P$18 - M128</f>
        <v>-0.12777311123106061</v>
      </c>
      <c r="K137" s="6"/>
      <c r="L137" s="6"/>
      <c r="M137" s="7"/>
      <c r="S137" s="4" t="s">
        <v>7</v>
      </c>
      <c r="T137" s="5">
        <f>W128 * (1 - W128) * (Y128 * X137 + Y130 * X138)</f>
        <v>-8.354352531530716E-5</v>
      </c>
      <c r="U137" s="6"/>
      <c r="V137" s="6"/>
      <c r="W137" s="7"/>
      <c r="X137" s="5">
        <f>AA128 * (1 - AA128) * AC128 *AB137</f>
        <v>2.9312959438734543E-4</v>
      </c>
      <c r="Y137" s="6"/>
      <c r="Z137" s="6"/>
      <c r="AA137" s="7"/>
      <c r="AB137" s="5">
        <f>$P$19 - AE128</f>
        <v>-2.4177274248214919E-2</v>
      </c>
      <c r="AC137" s="6"/>
      <c r="AD137" s="6"/>
      <c r="AE137" s="7"/>
    </row>
    <row r="138" spans="1:31" x14ac:dyDescent="0.3">
      <c r="B138" s="5">
        <f>E129 * (1 - E129) * (G129 * F137 + G131 * F138)</f>
        <v>-6.0852438456022138E-4</v>
      </c>
      <c r="C138" s="6"/>
      <c r="D138" s="6"/>
      <c r="E138" s="7"/>
      <c r="F138" s="5">
        <f>J129 * (1 - J129) * K129 * J137</f>
        <v>-6.4483051903443632E-3</v>
      </c>
      <c r="G138" s="6"/>
      <c r="H138" s="6"/>
      <c r="I138" s="7"/>
      <c r="T138" s="5">
        <f>W129 * (1 - W129) * (Y129 * X137 + Y131 * X138)</f>
        <v>-1.0621433029940635E-4</v>
      </c>
      <c r="U138" s="6"/>
      <c r="V138" s="6"/>
      <c r="W138" s="7"/>
      <c r="X138" s="5">
        <f>AB129 * (1 - AB129) * AC129 * AB137</f>
        <v>-1.2182153382722489E-3</v>
      </c>
      <c r="Y138" s="6"/>
      <c r="Z138" s="6"/>
      <c r="AA138" s="7"/>
    </row>
    <row r="140" spans="1:31" x14ac:dyDescent="0.3">
      <c r="B140" s="8" t="s">
        <v>4</v>
      </c>
      <c r="C140" s="8"/>
      <c r="D140" s="8"/>
      <c r="E140" s="8"/>
      <c r="F140" s="8" t="s">
        <v>5</v>
      </c>
      <c r="G140" s="8"/>
      <c r="H140" s="8"/>
      <c r="I140" s="8"/>
      <c r="J140" s="8" t="s">
        <v>6</v>
      </c>
      <c r="K140" s="8"/>
      <c r="L140" s="8"/>
      <c r="M140" s="8"/>
      <c r="T140" s="9" t="s">
        <v>4</v>
      </c>
      <c r="U140" s="10"/>
      <c r="V140" s="10"/>
      <c r="W140" s="11"/>
      <c r="X140" s="9" t="s">
        <v>5</v>
      </c>
      <c r="Y140" s="10"/>
      <c r="Z140" s="10"/>
      <c r="AA140" s="11"/>
      <c r="AB140" s="9" t="s">
        <v>6</v>
      </c>
      <c r="AC140" s="10"/>
      <c r="AD140" s="10"/>
      <c r="AE140" s="11"/>
    </row>
    <row r="141" spans="1:31" x14ac:dyDescent="0.3"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T141" s="12"/>
      <c r="U141" s="13"/>
      <c r="V141" s="13"/>
      <c r="W141" s="14"/>
      <c r="X141" s="12"/>
      <c r="Y141" s="13"/>
      <c r="Z141" s="13"/>
      <c r="AA141" s="14"/>
      <c r="AB141" s="12"/>
      <c r="AC141" s="13"/>
      <c r="AD141" s="13"/>
      <c r="AE141" s="14"/>
    </row>
    <row r="142" spans="1:31" x14ac:dyDescent="0.3">
      <c r="B142" s="3" t="s">
        <v>0</v>
      </c>
      <c r="C142" s="3" t="s">
        <v>1</v>
      </c>
      <c r="D142" s="3" t="s">
        <v>2</v>
      </c>
      <c r="E142" s="3" t="s">
        <v>3</v>
      </c>
      <c r="F142" s="3" t="s">
        <v>0</v>
      </c>
      <c r="G142" s="3" t="s">
        <v>1</v>
      </c>
      <c r="H142" s="3" t="s">
        <v>2</v>
      </c>
      <c r="I142" s="3" t="s">
        <v>3</v>
      </c>
      <c r="J142" s="3" t="s">
        <v>0</v>
      </c>
      <c r="K142" s="3" t="s">
        <v>1</v>
      </c>
      <c r="L142" s="3" t="s">
        <v>2</v>
      </c>
      <c r="M142" s="3" t="s">
        <v>3</v>
      </c>
      <c r="T142" s="3">
        <f>$O$19</f>
        <v>0.2</v>
      </c>
      <c r="U142" s="3" t="s">
        <v>1</v>
      </c>
      <c r="V142" s="3" t="s">
        <v>2</v>
      </c>
      <c r="W142" s="3" t="s">
        <v>3</v>
      </c>
      <c r="X142" s="3" t="s">
        <v>0</v>
      </c>
      <c r="Y142" s="3" t="s">
        <v>1</v>
      </c>
      <c r="Z142" s="3" t="s">
        <v>2</v>
      </c>
      <c r="AA142" s="3" t="s">
        <v>3</v>
      </c>
      <c r="AB142" s="3" t="s">
        <v>0</v>
      </c>
      <c r="AC142" s="3" t="s">
        <v>1</v>
      </c>
      <c r="AD142" s="3" t="s">
        <v>2</v>
      </c>
      <c r="AE142" s="3" t="s">
        <v>3</v>
      </c>
    </row>
    <row r="143" spans="1:31" x14ac:dyDescent="0.3">
      <c r="B143" s="3">
        <f>$B$4</f>
        <v>0.1</v>
      </c>
      <c r="C143" s="3">
        <f>C128 + $O$7 * B128 * B137</f>
        <v>9.9972227567482919E-2</v>
      </c>
      <c r="D143" s="3">
        <f>B143*C143+B144*C144</f>
        <v>2.9994445513496587E-2</v>
      </c>
      <c r="E143" s="3">
        <f>1/(1+EXP(-D143))</f>
        <v>0.50749804924132969</v>
      </c>
      <c r="F143" s="3">
        <f>E143</f>
        <v>0.50749804924132969</v>
      </c>
      <c r="G143" s="3">
        <f>G128 + $O$7 * F128 * F137</f>
        <v>9.982213168659948E-2</v>
      </c>
      <c r="H143" s="3">
        <f>F143*G143+F144*G144</f>
        <v>0.15406288304866736</v>
      </c>
      <c r="I143" s="3">
        <f>1/(1+EXP(-H143))</f>
        <v>0.53843971907011645</v>
      </c>
      <c r="J143" s="3">
        <f>I143</f>
        <v>0.53843971907011645</v>
      </c>
      <c r="K143" s="3">
        <f>K128 + $P$18 * J128 * J137</f>
        <v>-4.8801158607340744E-2</v>
      </c>
      <c r="L143" s="3">
        <f>J143*K143+J144*K144</f>
        <v>9.6372403871096995E-2</v>
      </c>
      <c r="M143" s="3">
        <f>1/(1+EXP(-L143))</f>
        <v>0.52407447093267567</v>
      </c>
      <c r="T143" s="3">
        <f t="shared" ref="T143:T149" si="32">$O$19</f>
        <v>0.2</v>
      </c>
      <c r="U143" s="3">
        <f>U128 + $O$7 * T128 * T137</f>
        <v>9.9970556696976617E-2</v>
      </c>
      <c r="V143" s="3">
        <f>T143*U143+T144*U144</f>
        <v>5.9988222678790649E-2</v>
      </c>
      <c r="W143" s="3">
        <f>1/(1+EXP(-V143))</f>
        <v>0.51499255993689641</v>
      </c>
      <c r="X143" s="3">
        <f>W143</f>
        <v>0.51499255993689641</v>
      </c>
      <c r="Y143" s="3">
        <f>Y128 + $O$7 * X128 * X137</f>
        <v>9.9837227647513571E-2</v>
      </c>
      <c r="Z143" s="3">
        <f>X143*Y143+X144*Y144</f>
        <v>0.15831356553999065</v>
      </c>
      <c r="AA143" s="3">
        <f>1/(1+EXP(-Z143))</f>
        <v>0.53949593466275603</v>
      </c>
      <c r="AB143" s="3">
        <f>AA143</f>
        <v>0.53949593466275603</v>
      </c>
      <c r="AC143" s="3">
        <f>AC128 +  $P$19 * AB128 * AB137</f>
        <v>-5.5322880827422392E-2</v>
      </c>
      <c r="AD143" s="3">
        <f>AB143*AC143+AB144*AC144</f>
        <v>9.3262547661867146E-2</v>
      </c>
      <c r="AE143" s="3">
        <f>1/(1+EXP(-AD143))</f>
        <v>0.52329875183982888</v>
      </c>
    </row>
    <row r="144" spans="1:31" x14ac:dyDescent="0.3">
      <c r="B144" s="3">
        <f>$B$5</f>
        <v>0.1</v>
      </c>
      <c r="C144" s="3">
        <f>C129 + $O$7 * B129 * B137</f>
        <v>0.19997222756748292</v>
      </c>
      <c r="D144" s="3">
        <f>B143*C145+B144*C146</f>
        <v>6.9992428659213679E-2</v>
      </c>
      <c r="E144" s="3">
        <f>1/(1+EXP(-D144))</f>
        <v>0.51749096714777354</v>
      </c>
      <c r="F144" s="3">
        <f>E144</f>
        <v>0.51749096714777354</v>
      </c>
      <c r="G144" s="3">
        <f>G129 + $O$7 * F129 * F137</f>
        <v>0.19981671664054257</v>
      </c>
      <c r="H144" s="3">
        <f>F143*G145+F144*G146</f>
        <v>0.35777285842725282</v>
      </c>
      <c r="I144" s="3">
        <f>1/(1+EXP(-H144))</f>
        <v>0.58850119917640542</v>
      </c>
      <c r="J144" s="3">
        <f>I144</f>
        <v>0.58850119917640542</v>
      </c>
      <c r="K144" s="3">
        <f>K129 + $P$18 * J129 * J138</f>
        <v>0.20840889733712384</v>
      </c>
      <c r="L144" s="3"/>
      <c r="M144" s="3"/>
      <c r="T144" s="3">
        <f t="shared" si="32"/>
        <v>0.2</v>
      </c>
      <c r="U144" s="3">
        <f>U129 + $O$7 * T129 * T137</f>
        <v>0.19997055669697661</v>
      </c>
      <c r="V144" s="3">
        <f>T143*U145+T144*U146</f>
        <v>0.13998400760378499</v>
      </c>
      <c r="W144" s="3">
        <f>1/(1+EXP(-V144))</f>
        <v>0.53493896658380391</v>
      </c>
      <c r="X144" s="3">
        <f>W144</f>
        <v>0.53493896658380391</v>
      </c>
      <c r="Y144" s="3">
        <f>Y129 + $O$7 * X129 * X137</f>
        <v>0.19983239729096874</v>
      </c>
      <c r="Z144" s="3">
        <f>X143*Y145+X144*Y146</f>
        <v>0.36689722749691134</v>
      </c>
      <c r="AA144" s="3">
        <f>1/(1+EXP(-Z144))</f>
        <v>0.59070902699010763</v>
      </c>
      <c r="AB144" s="3">
        <f>AA144</f>
        <v>0.59070902699010763</v>
      </c>
      <c r="AC144" s="3">
        <f>AC129 +  $P$19 * AB129 * AB138</f>
        <v>0.20840889733712384</v>
      </c>
      <c r="AD144" s="3"/>
      <c r="AE144" s="3"/>
    </row>
    <row r="145" spans="2:31" x14ac:dyDescent="0.3">
      <c r="B145" s="3">
        <f>$B$6</f>
        <v>0.1</v>
      </c>
      <c r="C145" s="3">
        <f>C130 + $O$7 * B128 * B138</f>
        <v>0.29996214329606841</v>
      </c>
      <c r="D145" s="3"/>
      <c r="E145" s="3"/>
      <c r="F145" s="3"/>
      <c r="G145" s="3">
        <f>G130 + $O$7 * F128 * F138</f>
        <v>0.29858075687325353</v>
      </c>
      <c r="H145" s="3"/>
      <c r="I145" s="3"/>
      <c r="J145" s="3"/>
      <c r="K145" s="3"/>
      <c r="L145" s="3"/>
      <c r="M145" s="3"/>
      <c r="T145" s="3">
        <f t="shared" si="32"/>
        <v>0.2</v>
      </c>
      <c r="U145" s="3">
        <f>U130 + $O$7 * T128 * T138</f>
        <v>0.2999600190094624</v>
      </c>
      <c r="V145" s="3"/>
      <c r="W145" s="3"/>
      <c r="X145" s="3"/>
      <c r="Y145" s="3">
        <f>Y130 + $O$7 * X128 * X138</f>
        <v>0.29851801966935593</v>
      </c>
      <c r="Z145" s="3"/>
      <c r="AA145" s="3"/>
      <c r="AB145" s="3"/>
      <c r="AC145" s="3"/>
      <c r="AD145" s="3"/>
      <c r="AE145" s="3"/>
    </row>
    <row r="146" spans="2:31" x14ac:dyDescent="0.3">
      <c r="B146" s="3">
        <f>$B$7</f>
        <v>0.1</v>
      </c>
      <c r="C146" s="3">
        <f>C131 + $O$7 * B129* B138</f>
        <v>0.39996214329606844</v>
      </c>
      <c r="D146" s="3"/>
      <c r="E146" s="3"/>
      <c r="F146" s="3"/>
      <c r="G146" s="3">
        <f>G131 + $O$7 * F129* F138</f>
        <v>0.39854552033984092</v>
      </c>
      <c r="H146" s="3"/>
      <c r="I146" s="3"/>
      <c r="J146" s="3"/>
      <c r="K146" s="3"/>
      <c r="L146" s="3"/>
      <c r="M146" s="3"/>
      <c r="T146" s="3">
        <f t="shared" si="32"/>
        <v>0.2</v>
      </c>
      <c r="U146" s="3">
        <f>U131 + $O$7 * T129* T138</f>
        <v>0.39996001900946243</v>
      </c>
      <c r="V146" s="3"/>
      <c r="W146" s="3"/>
      <c r="X146" s="3"/>
      <c r="Y146" s="3">
        <f>Y131 + $O$7 * X129* X138</f>
        <v>0.3984803532286757</v>
      </c>
      <c r="Z146" s="3"/>
      <c r="AA146" s="3"/>
      <c r="AB146" s="3"/>
      <c r="AC146" s="3"/>
      <c r="AD146" s="3"/>
      <c r="AE146" s="3"/>
    </row>
    <row r="147" spans="2:31" x14ac:dyDescent="0.3">
      <c r="B147" s="3">
        <f>$B$8</f>
        <v>0.1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T147" s="3">
        <f t="shared" si="32"/>
        <v>0.2</v>
      </c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spans="2:31" x14ac:dyDescent="0.3">
      <c r="B148" s="3">
        <f>$B$9</f>
        <v>0.1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T148" s="3">
        <f t="shared" si="32"/>
        <v>0.2</v>
      </c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spans="2:31" x14ac:dyDescent="0.3">
      <c r="B149" s="3">
        <f>$B$10</f>
        <v>0.1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T149" s="3">
        <f t="shared" si="32"/>
        <v>0.2</v>
      </c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spans="2:31" x14ac:dyDescent="0.3">
      <c r="B150" s="3">
        <f>$B$11</f>
        <v>0.1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T150" s="3">
        <f>$B$11</f>
        <v>0.1</v>
      </c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6" spans="2:31" x14ac:dyDescent="0.3">
      <c r="B156" s="8" t="s">
        <v>4</v>
      </c>
      <c r="C156" s="8"/>
      <c r="D156" s="8"/>
      <c r="E156" s="8"/>
      <c r="F156" s="8" t="s">
        <v>5</v>
      </c>
      <c r="G156" s="8"/>
      <c r="H156" s="8"/>
      <c r="I156" s="8"/>
      <c r="J156" s="8" t="s">
        <v>6</v>
      </c>
      <c r="K156" s="8"/>
      <c r="L156" s="8"/>
      <c r="M156" s="8"/>
      <c r="T156" s="9" t="s">
        <v>4</v>
      </c>
      <c r="U156" s="10"/>
      <c r="V156" s="10"/>
      <c r="W156" s="11"/>
      <c r="X156" s="9" t="s">
        <v>5</v>
      </c>
      <c r="Y156" s="10"/>
      <c r="Z156" s="10"/>
      <c r="AA156" s="11"/>
      <c r="AB156" s="9" t="s">
        <v>6</v>
      </c>
      <c r="AC156" s="10"/>
      <c r="AD156" s="10"/>
      <c r="AE156" s="11"/>
    </row>
    <row r="157" spans="2:31" x14ac:dyDescent="0.3"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T157" s="12"/>
      <c r="U157" s="13"/>
      <c r="V157" s="13"/>
      <c r="W157" s="14"/>
      <c r="X157" s="12"/>
      <c r="Y157" s="13"/>
      <c r="Z157" s="13"/>
      <c r="AA157" s="14"/>
      <c r="AB157" s="12"/>
      <c r="AC157" s="13"/>
      <c r="AD157" s="13"/>
      <c r="AE157" s="14"/>
    </row>
    <row r="158" spans="2:31" x14ac:dyDescent="0.3">
      <c r="B158" s="3" t="s">
        <v>0</v>
      </c>
      <c r="C158" s="3" t="s">
        <v>1</v>
      </c>
      <c r="D158" s="3" t="s">
        <v>2</v>
      </c>
      <c r="E158" s="3" t="s">
        <v>3</v>
      </c>
      <c r="F158" s="3" t="s">
        <v>0</v>
      </c>
      <c r="G158" s="3" t="s">
        <v>1</v>
      </c>
      <c r="H158" s="3" t="s">
        <v>2</v>
      </c>
      <c r="I158" s="3" t="s">
        <v>3</v>
      </c>
      <c r="J158" s="3" t="s">
        <v>0</v>
      </c>
      <c r="K158" s="3" t="s">
        <v>1</v>
      </c>
      <c r="L158" s="3" t="s">
        <v>2</v>
      </c>
      <c r="M158" s="3" t="s">
        <v>3</v>
      </c>
      <c r="T158" s="3" t="s">
        <v>0</v>
      </c>
      <c r="U158" s="3" t="s">
        <v>1</v>
      </c>
      <c r="V158" s="3" t="s">
        <v>2</v>
      </c>
      <c r="W158" s="3" t="s">
        <v>3</v>
      </c>
      <c r="X158" s="3" t="s">
        <v>0</v>
      </c>
      <c r="Y158" s="3" t="s">
        <v>1</v>
      </c>
      <c r="Z158" s="3" t="s">
        <v>2</v>
      </c>
      <c r="AA158" s="3" t="s">
        <v>3</v>
      </c>
      <c r="AB158" s="3" t="s">
        <v>0</v>
      </c>
      <c r="AC158" s="3" t="s">
        <v>1</v>
      </c>
      <c r="AD158" s="3" t="s">
        <v>2</v>
      </c>
      <c r="AE158" s="3" t="s">
        <v>3</v>
      </c>
    </row>
    <row r="159" spans="2:31" x14ac:dyDescent="0.3">
      <c r="B159" s="3">
        <f>$B$4</f>
        <v>0.1</v>
      </c>
      <c r="C159" s="3">
        <f>U143</f>
        <v>9.9970556696976617E-2</v>
      </c>
      <c r="D159" s="3">
        <f>B159*C159+B160*C160</f>
        <v>2.9994111339395325E-2</v>
      </c>
      <c r="E159" s="3">
        <f>1/(1+EXP(-D159))</f>
        <v>0.50749796571659167</v>
      </c>
      <c r="F159" s="3">
        <f>E159</f>
        <v>0.50749796571659167</v>
      </c>
      <c r="G159" s="3">
        <f>Y143</f>
        <v>9.9837227647513571E-2</v>
      </c>
      <c r="H159" s="3">
        <f>F159*G159+F160*G160</f>
        <v>0.15407862927636842</v>
      </c>
      <c r="I159" s="3">
        <f>1/(1+EXP(-H159))</f>
        <v>0.53844363235785797</v>
      </c>
      <c r="J159" s="3">
        <f>I159</f>
        <v>0.53844363235785797</v>
      </c>
      <c r="K159" s="3">
        <f>AC143</f>
        <v>-5.5322880827422392E-2</v>
      </c>
      <c r="L159" s="3">
        <f>J159*K159+J160*K160</f>
        <v>9.285732075981537E-2</v>
      </c>
      <c r="M159" s="3">
        <f>1/(1+EXP(-L159))</f>
        <v>0.52319766413136548</v>
      </c>
      <c r="T159" s="3">
        <f>$O$19</f>
        <v>0.2</v>
      </c>
      <c r="U159" s="3">
        <f>C174</f>
        <v>9.9966340071119791E-2</v>
      </c>
      <c r="V159" s="3">
        <f>T159*U159+T160*U160</f>
        <v>5.9986536028447918E-2</v>
      </c>
      <c r="W159" s="3">
        <f>1/(1+EXP(-V159))</f>
        <v>0.51499213865341997</v>
      </c>
      <c r="X159" s="3">
        <f>W159</f>
        <v>0.51499213865341997</v>
      </c>
      <c r="Y159" s="3">
        <f>G174</f>
        <v>9.9923189656870928E-2</v>
      </c>
      <c r="Z159" s="3">
        <f>X159*Y159+X160*Y160</f>
        <v>0.15840457685951839</v>
      </c>
      <c r="AA159" s="3">
        <f>1/(1+EXP(-Z159))</f>
        <v>0.53951854544016276</v>
      </c>
      <c r="AB159" s="3">
        <f>AA159</f>
        <v>0.53951854544016276</v>
      </c>
      <c r="AC159" s="3">
        <f>K174</f>
        <v>-8.1856879936580723E-2</v>
      </c>
      <c r="AD159" s="3">
        <f>AB159*AC159+AB160*AC160</f>
        <v>7.8928833310619062E-2</v>
      </c>
      <c r="AE159" s="3">
        <f>1/(1+EXP(-AD159))</f>
        <v>0.51972197079396998</v>
      </c>
    </row>
    <row r="160" spans="2:31" x14ac:dyDescent="0.3">
      <c r="B160" s="3">
        <f>$B$5</f>
        <v>0.1</v>
      </c>
      <c r="C160" s="3">
        <f>U144</f>
        <v>0.19997055669697661</v>
      </c>
      <c r="D160" s="3">
        <f>B159*C161+B160*C162</f>
        <v>6.9992003801892494E-2</v>
      </c>
      <c r="E160" s="3">
        <f>1/(1+EXP(-D160))</f>
        <v>0.51749086106342079</v>
      </c>
      <c r="F160" s="3">
        <f>E160</f>
        <v>0.51749086106342079</v>
      </c>
      <c r="G160" s="3">
        <f t="shared" ref="G160:G162" si="33">Y144</f>
        <v>0.19983239729096874</v>
      </c>
      <c r="H160" s="3">
        <f>F159*G161+F160*G162</f>
        <v>0.35770722882110706</v>
      </c>
      <c r="I160" s="3">
        <f>1/(1+EXP(-H160))</f>
        <v>0.58848530572397373</v>
      </c>
      <c r="J160" s="3">
        <f>I160</f>
        <v>0.58848530572397373</v>
      </c>
      <c r="K160" s="3">
        <f>AC144</f>
        <v>0.20840889733712384</v>
      </c>
      <c r="L160" s="3"/>
      <c r="M160" s="3"/>
      <c r="T160" s="3">
        <f t="shared" ref="T160:T166" si="34">$O$19</f>
        <v>0.2</v>
      </c>
      <c r="U160" s="3">
        <f t="shared" ref="U160:U162" si="35">C175</f>
        <v>0.19996634007111977</v>
      </c>
      <c r="V160" s="3">
        <f>T159*U161+T160*U162</f>
        <v>0.13998187101760018</v>
      </c>
      <c r="W160" s="3">
        <f>1/(1+EXP(-V160))</f>
        <v>0.53493843504541583</v>
      </c>
      <c r="X160" s="3">
        <f>W160</f>
        <v>0.53493843504541583</v>
      </c>
      <c r="Y160" s="3">
        <f t="shared" ref="Y160:Y162" si="36">G175</f>
        <v>0.19992005193639825</v>
      </c>
      <c r="Z160" s="3">
        <f>X159*Y161+X160*Y162</f>
        <v>0.36656225609558152</v>
      </c>
      <c r="AA160" s="3">
        <f>1/(1+EXP(-Z160))</f>
        <v>0.5906280378671086</v>
      </c>
      <c r="AB160" s="3">
        <f>AA160</f>
        <v>0.5906280378671086</v>
      </c>
      <c r="AC160" s="3">
        <f>K175</f>
        <v>0.20840889733712384</v>
      </c>
      <c r="AD160" s="3"/>
      <c r="AE160" s="3"/>
    </row>
    <row r="161" spans="1:31" x14ac:dyDescent="0.3">
      <c r="B161" s="3">
        <f>$B$6</f>
        <v>0.1</v>
      </c>
      <c r="C161" s="3">
        <f t="shared" ref="C161:C162" si="37">U145</f>
        <v>0.2999600190094624</v>
      </c>
      <c r="D161" s="3"/>
      <c r="E161" s="3"/>
      <c r="F161" s="3"/>
      <c r="G161" s="3">
        <f t="shared" si="33"/>
        <v>0.29851801966935593</v>
      </c>
      <c r="H161" s="3"/>
      <c r="I161" s="3"/>
      <c r="J161" s="3"/>
      <c r="K161" s="3"/>
      <c r="L161" s="3"/>
      <c r="M161" s="3"/>
      <c r="T161" s="3">
        <f t="shared" si="34"/>
        <v>0.2</v>
      </c>
      <c r="U161" s="3">
        <f t="shared" si="35"/>
        <v>0.2999546775440004</v>
      </c>
      <c r="V161" s="3"/>
      <c r="W161" s="3"/>
      <c r="X161" s="3"/>
      <c r="Y161" s="3">
        <f t="shared" si="36"/>
        <v>0.29820246543974022</v>
      </c>
      <c r="Z161" s="3"/>
      <c r="AA161" s="3"/>
      <c r="AB161" s="3"/>
      <c r="AC161" s="3"/>
      <c r="AD161" s="3"/>
      <c r="AE161" s="3"/>
    </row>
    <row r="162" spans="1:31" x14ac:dyDescent="0.3">
      <c r="B162" s="3">
        <f>$B$7</f>
        <v>0.1</v>
      </c>
      <c r="C162" s="3">
        <f t="shared" si="37"/>
        <v>0.39996001900946243</v>
      </c>
      <c r="D162" s="3"/>
      <c r="E162" s="3"/>
      <c r="F162" s="3"/>
      <c r="G162" s="3">
        <f t="shared" si="33"/>
        <v>0.3984803532286757</v>
      </c>
      <c r="H162" s="3"/>
      <c r="I162" s="3"/>
      <c r="J162" s="3"/>
      <c r="K162" s="3"/>
      <c r="L162" s="3"/>
      <c r="M162" s="3"/>
      <c r="T162" s="3">
        <f t="shared" si="34"/>
        <v>0.2</v>
      </c>
      <c r="U162" s="3">
        <f t="shared" si="35"/>
        <v>0.39995467754400044</v>
      </c>
      <c r="V162" s="3"/>
      <c r="W162" s="3"/>
      <c r="X162" s="3"/>
      <c r="Y162" s="3">
        <f t="shared" si="36"/>
        <v>0.39815858557436512</v>
      </c>
      <c r="Z162" s="3"/>
      <c r="AA162" s="3"/>
      <c r="AB162" s="3"/>
      <c r="AC162" s="3"/>
      <c r="AD162" s="3"/>
      <c r="AE162" s="3"/>
    </row>
    <row r="163" spans="1:31" x14ac:dyDescent="0.3">
      <c r="B163" s="3">
        <f>$B$8</f>
        <v>0.1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T163" s="3">
        <f t="shared" si="34"/>
        <v>0.2</v>
      </c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spans="1:31" x14ac:dyDescent="0.3">
      <c r="B164" s="3">
        <f>$B$9</f>
        <v>0.1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T164" s="3">
        <f t="shared" si="34"/>
        <v>0.2</v>
      </c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spans="1:31" x14ac:dyDescent="0.3">
      <c r="B165" s="3">
        <f>$B$10</f>
        <v>0.1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T165" s="3">
        <f t="shared" si="34"/>
        <v>0.2</v>
      </c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spans="1:31" x14ac:dyDescent="0.3">
      <c r="B166" s="3">
        <f>$B$11</f>
        <v>0.1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T166" s="3">
        <f t="shared" si="34"/>
        <v>0.2</v>
      </c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8" spans="1:31" x14ac:dyDescent="0.3">
      <c r="A168" s="4" t="s">
        <v>7</v>
      </c>
      <c r="B168" s="5">
        <f>E159 * (1 - E159) * (G159 * F168 + G161 * F169)</f>
        <v>-4.2166258568316045E-4</v>
      </c>
      <c r="C168" s="6"/>
      <c r="D168" s="6"/>
      <c r="E168" s="7"/>
      <c r="F168" s="5">
        <f>I159 * (1 - I159) * K159 *J168</f>
        <v>1.6938394863511375E-3</v>
      </c>
      <c r="G168" s="6"/>
      <c r="H168" s="6"/>
      <c r="I168" s="7"/>
      <c r="J168" s="5">
        <f>$P$18 - M159</f>
        <v>-0.12319766413136546</v>
      </c>
      <c r="K168" s="6"/>
      <c r="L168" s="6"/>
      <c r="M168" s="7"/>
      <c r="S168" s="4" t="s">
        <v>7</v>
      </c>
      <c r="T168" s="5">
        <f>W159 * (1 - W159) * (Y159 * X168 + Y161 * X169)</f>
        <v>-6.401161735867031E-5</v>
      </c>
      <c r="U168" s="6"/>
      <c r="V168" s="6"/>
      <c r="W168" s="7"/>
      <c r="X168" s="5">
        <f>AA159 * (1 - AA159) * AC159 *AB168</f>
        <v>4.0107354825572896E-4</v>
      </c>
      <c r="Y168" s="6"/>
      <c r="Z168" s="6"/>
      <c r="AA168" s="7"/>
      <c r="AB168" s="5">
        <f>$P$19 - AE159</f>
        <v>-1.9721970793969978E-2</v>
      </c>
      <c r="AC168" s="6"/>
      <c r="AD168" s="6"/>
      <c r="AE168" s="7"/>
    </row>
    <row r="169" spans="1:31" x14ac:dyDescent="0.3">
      <c r="B169" s="5">
        <f>E160 * (1 - E160) * (G160 * F168 + G162 * F169)</f>
        <v>-5.3414654620078045E-4</v>
      </c>
      <c r="C169" s="6"/>
      <c r="D169" s="6"/>
      <c r="E169" s="7"/>
      <c r="F169" s="5">
        <f>J160 * (1 - J160) * K160 * J168</f>
        <v>-6.2178422561777755E-3</v>
      </c>
      <c r="G169" s="6"/>
      <c r="H169" s="6"/>
      <c r="I169" s="7"/>
      <c r="T169" s="5">
        <f>W160 * (1 - W160) * (Y160 * X168 + Y162 * X169)</f>
        <v>-7.8491639969993548E-5</v>
      </c>
      <c r="U169" s="6"/>
      <c r="V169" s="6"/>
      <c r="W169" s="7"/>
      <c r="X169" s="5">
        <f>AB160 * (1 - AB160) * AC160 * AB168</f>
        <v>-9.9379937961680638E-4</v>
      </c>
      <c r="Y169" s="6"/>
      <c r="Z169" s="6"/>
      <c r="AA169" s="7"/>
    </row>
    <row r="171" spans="1:31" x14ac:dyDescent="0.3">
      <c r="B171" s="8" t="s">
        <v>4</v>
      </c>
      <c r="C171" s="8"/>
      <c r="D171" s="8"/>
      <c r="E171" s="8"/>
      <c r="F171" s="8" t="s">
        <v>5</v>
      </c>
      <c r="G171" s="8"/>
      <c r="H171" s="8"/>
      <c r="I171" s="8"/>
      <c r="J171" s="8" t="s">
        <v>6</v>
      </c>
      <c r="K171" s="8"/>
      <c r="L171" s="8"/>
      <c r="M171" s="8"/>
      <c r="T171" s="9" t="s">
        <v>4</v>
      </c>
      <c r="U171" s="10"/>
      <c r="V171" s="10"/>
      <c r="W171" s="11"/>
      <c r="X171" s="9" t="s">
        <v>5</v>
      </c>
      <c r="Y171" s="10"/>
      <c r="Z171" s="10"/>
      <c r="AA171" s="11"/>
      <c r="AB171" s="9" t="s">
        <v>6</v>
      </c>
      <c r="AC171" s="10"/>
      <c r="AD171" s="10"/>
      <c r="AE171" s="11"/>
    </row>
    <row r="172" spans="1:31" x14ac:dyDescent="0.3"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T172" s="12"/>
      <c r="U172" s="13"/>
      <c r="V172" s="13"/>
      <c r="W172" s="14"/>
      <c r="X172" s="12"/>
      <c r="Y172" s="13"/>
      <c r="Z172" s="13"/>
      <c r="AA172" s="14"/>
      <c r="AB172" s="12"/>
      <c r="AC172" s="13"/>
      <c r="AD172" s="13"/>
      <c r="AE172" s="14"/>
    </row>
    <row r="173" spans="1:31" x14ac:dyDescent="0.3">
      <c r="B173" s="3" t="s">
        <v>0</v>
      </c>
      <c r="C173" s="3" t="s">
        <v>1</v>
      </c>
      <c r="D173" s="3" t="s">
        <v>2</v>
      </c>
      <c r="E173" s="3" t="s">
        <v>3</v>
      </c>
      <c r="F173" s="3" t="s">
        <v>0</v>
      </c>
      <c r="G173" s="3" t="s">
        <v>1</v>
      </c>
      <c r="H173" s="3" t="s">
        <v>2</v>
      </c>
      <c r="I173" s="3" t="s">
        <v>3</v>
      </c>
      <c r="J173" s="3" t="s">
        <v>0</v>
      </c>
      <c r="K173" s="3" t="s">
        <v>1</v>
      </c>
      <c r="L173" s="3" t="s">
        <v>2</v>
      </c>
      <c r="M173" s="3" t="s">
        <v>3</v>
      </c>
      <c r="T173" s="3">
        <f>$O$19</f>
        <v>0.2</v>
      </c>
      <c r="U173" s="3" t="s">
        <v>1</v>
      </c>
      <c r="V173" s="3" t="s">
        <v>2</v>
      </c>
      <c r="W173" s="3" t="s">
        <v>3</v>
      </c>
      <c r="X173" s="3" t="s">
        <v>0</v>
      </c>
      <c r="Y173" s="3" t="s">
        <v>1</v>
      </c>
      <c r="Z173" s="3" t="s">
        <v>2</v>
      </c>
      <c r="AA173" s="3" t="s">
        <v>3</v>
      </c>
      <c r="AB173" s="3" t="s">
        <v>0</v>
      </c>
      <c r="AC173" s="3" t="s">
        <v>1</v>
      </c>
      <c r="AD173" s="3" t="s">
        <v>2</v>
      </c>
      <c r="AE173" s="3" t="s">
        <v>3</v>
      </c>
    </row>
    <row r="174" spans="1:31" x14ac:dyDescent="0.3">
      <c r="B174" s="3">
        <f>$B$4</f>
        <v>0.1</v>
      </c>
      <c r="C174" s="3">
        <f>C159 + $O$7 * B159 * B168</f>
        <v>9.9966340071119791E-2</v>
      </c>
      <c r="D174" s="3">
        <f>B174*C174+B175*C175</f>
        <v>2.9993268014223959E-2</v>
      </c>
      <c r="E174" s="3">
        <f>1/(1+EXP(-D174))</f>
        <v>0.50749775493270888</v>
      </c>
      <c r="F174" s="3">
        <f>E174</f>
        <v>0.50749775493270888</v>
      </c>
      <c r="G174" s="3">
        <f>G159 + $O$7 * F159 * F168</f>
        <v>9.9923189656870928E-2</v>
      </c>
      <c r="H174" s="3">
        <f>F174*G174+F175*G175</f>
        <v>0.15416754090902268</v>
      </c>
      <c r="I174" s="3">
        <f>1/(1+EXP(-H174))</f>
        <v>0.53846572878683341</v>
      </c>
      <c r="J174" s="3">
        <f>I174</f>
        <v>0.53846572878683341</v>
      </c>
      <c r="K174" s="3">
        <f>K159 + $P$18 * J159 * J168</f>
        <v>-8.1856879936580723E-2</v>
      </c>
      <c r="L174" s="3">
        <f>J174*K174+J175*K175</f>
        <v>7.8551953719954853E-2</v>
      </c>
      <c r="M174" s="3">
        <f>1/(1+EXP(-L174))</f>
        <v>0.51962789678781129</v>
      </c>
      <c r="T174" s="3">
        <f t="shared" ref="T174:T180" si="38">$O$19</f>
        <v>0.2</v>
      </c>
      <c r="U174" s="3">
        <f>U159 + $O$7 * T159 * T168</f>
        <v>9.9965059838772616E-2</v>
      </c>
      <c r="V174" s="3">
        <f>T174*U174+T175*U175</f>
        <v>5.9986023935509045E-2</v>
      </c>
      <c r="W174" s="3">
        <f>1/(1+EXP(-V174))</f>
        <v>0.51499201074528445</v>
      </c>
      <c r="X174" s="3">
        <f>W174</f>
        <v>0.51499201074528445</v>
      </c>
      <c r="Y174" s="3">
        <f>Y159 + $O$7 * X159 * X168</f>
        <v>9.9943844629308276E-2</v>
      </c>
      <c r="Z174" s="3">
        <f>X174*Y174+X175*Y175</f>
        <v>0.15842664707583565</v>
      </c>
      <c r="AA174" s="3">
        <f>1/(1+EXP(-Z174))</f>
        <v>0.53952402852206216</v>
      </c>
      <c r="AB174" s="3">
        <f>AA174</f>
        <v>0.53952402852206216</v>
      </c>
      <c r="AC174" s="3">
        <f>AC159 +  $P$19 * AB159 * AB168</f>
        <v>-8.7177064434568755E-2</v>
      </c>
      <c r="AD174" s="3">
        <f>AB174*AC174+AB175*AC175</f>
        <v>7.6055250858652806E-2</v>
      </c>
      <c r="AE174" s="3">
        <f>1/(1+EXP(-AD174))</f>
        <v>0.51900465271973828</v>
      </c>
    </row>
    <row r="175" spans="1:31" x14ac:dyDescent="0.3">
      <c r="B175" s="3">
        <f>$B$5</f>
        <v>0.1</v>
      </c>
      <c r="C175" s="3">
        <f>C160 + $O$7 * B160 * B168</f>
        <v>0.19996634007111977</v>
      </c>
      <c r="D175" s="3">
        <f>B174*C176+B175*C177</f>
        <v>6.999093550880009E-2</v>
      </c>
      <c r="E175" s="3">
        <f>1/(1+EXP(-D175))</f>
        <v>0.51749059431696576</v>
      </c>
      <c r="F175" s="3">
        <f>E175</f>
        <v>0.51749059431696576</v>
      </c>
      <c r="G175" s="3">
        <f>G160 + $O$7 * F160 * F168</f>
        <v>0.19992005193639825</v>
      </c>
      <c r="H175" s="3">
        <f>F174*G176+F175*G177</f>
        <v>0.35738040480734756</v>
      </c>
      <c r="I175" s="3">
        <f>1/(1+EXP(-H175))</f>
        <v>0.58840615634972804</v>
      </c>
      <c r="J175" s="3">
        <f>I175</f>
        <v>0.58840615634972804</v>
      </c>
      <c r="K175" s="3">
        <f>K160 + $P$18 * J160 * J169</f>
        <v>0.20840889733712384</v>
      </c>
      <c r="L175" s="3"/>
      <c r="M175" s="3"/>
      <c r="T175" s="3">
        <f t="shared" si="38"/>
        <v>0.2</v>
      </c>
      <c r="U175" s="3">
        <f>U160 + $O$7 * T160 * T168</f>
        <v>0.19996505983877261</v>
      </c>
      <c r="V175" s="3">
        <f>T174*U176+T175*U177</f>
        <v>0.1399812430844804</v>
      </c>
      <c r="W175" s="3">
        <f>1/(1+EXP(-V175))</f>
        <v>0.53493827882864675</v>
      </c>
      <c r="X175" s="3">
        <f>W175</f>
        <v>0.53493827882864675</v>
      </c>
      <c r="Y175" s="3">
        <f>Y160 + $O$7 * X160 * X168</f>
        <v>0.19994150690202245</v>
      </c>
      <c r="Z175" s="3">
        <f>X174*Y176+X175*Y177</f>
        <v>0.3665073600529935</v>
      </c>
      <c r="AA175" s="3">
        <f>1/(1+EXP(-Z175))</f>
        <v>0.59061476467584972</v>
      </c>
      <c r="AB175" s="3">
        <f>AA175</f>
        <v>0.59061476467584972</v>
      </c>
      <c r="AC175" s="3">
        <f>AC160 +  $P$19 * AB160 * AB169</f>
        <v>0.20840889733712384</v>
      </c>
      <c r="AD175" s="3"/>
      <c r="AE175" s="3"/>
    </row>
    <row r="176" spans="1:31" x14ac:dyDescent="0.3">
      <c r="B176" s="3">
        <f>$B$6</f>
        <v>0.1</v>
      </c>
      <c r="C176" s="3">
        <f>C161 + $O$7 * B159 * B169</f>
        <v>0.2999546775440004</v>
      </c>
      <c r="D176" s="3"/>
      <c r="E176" s="3"/>
      <c r="F176" s="3"/>
      <c r="G176" s="3">
        <f>G161 + $O$7 * F159 * F169</f>
        <v>0.29820246543974022</v>
      </c>
      <c r="H176" s="3"/>
      <c r="I176" s="3"/>
      <c r="J176" s="3"/>
      <c r="K176" s="3"/>
      <c r="L176" s="3"/>
      <c r="M176" s="3"/>
      <c r="T176" s="3">
        <f t="shared" si="38"/>
        <v>0.2</v>
      </c>
      <c r="U176" s="3">
        <f>U161 + $O$7 * T159 * T169</f>
        <v>0.29995310771120098</v>
      </c>
      <c r="V176" s="3"/>
      <c r="W176" s="3"/>
      <c r="X176" s="3"/>
      <c r="Y176" s="3">
        <f>Y161 + $O$7 * X159 * X169</f>
        <v>0.29815128555295006</v>
      </c>
      <c r="Z176" s="3"/>
      <c r="AA176" s="3"/>
      <c r="AB176" s="3"/>
      <c r="AC176" s="3"/>
      <c r="AD176" s="3"/>
      <c r="AE176" s="3"/>
    </row>
    <row r="177" spans="2:31" x14ac:dyDescent="0.3">
      <c r="B177" s="3">
        <f>$B$7</f>
        <v>0.1</v>
      </c>
      <c r="C177" s="3">
        <f>C162 + $O$7 * B160* B169</f>
        <v>0.39995467754400044</v>
      </c>
      <c r="D177" s="3"/>
      <c r="E177" s="3"/>
      <c r="F177" s="3"/>
      <c r="G177" s="3">
        <f>G162 + $O$7 * F160* F169</f>
        <v>0.39815858557436512</v>
      </c>
      <c r="H177" s="3"/>
      <c r="I177" s="3"/>
      <c r="J177" s="3"/>
      <c r="K177" s="3"/>
      <c r="L177" s="3"/>
      <c r="M177" s="3"/>
      <c r="T177" s="3">
        <f t="shared" si="38"/>
        <v>0.2</v>
      </c>
      <c r="U177" s="3">
        <f>U162 + $O$7 * T160* T169</f>
        <v>0.39995310771120102</v>
      </c>
      <c r="V177" s="3"/>
      <c r="W177" s="3"/>
      <c r="X177" s="3"/>
      <c r="Y177" s="3">
        <f>Y162 + $O$7 * X160* X169</f>
        <v>0.39810542342587701</v>
      </c>
      <c r="Z177" s="3"/>
      <c r="AA177" s="3"/>
      <c r="AB177" s="3"/>
      <c r="AC177" s="3"/>
      <c r="AD177" s="3"/>
      <c r="AE177" s="3"/>
    </row>
    <row r="178" spans="2:31" x14ac:dyDescent="0.3">
      <c r="B178" s="3">
        <f>$B$8</f>
        <v>0.1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T178" s="3">
        <f t="shared" si="38"/>
        <v>0.2</v>
      </c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spans="2:31" x14ac:dyDescent="0.3">
      <c r="B179" s="3">
        <f>$B$9</f>
        <v>0.1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T179" s="3">
        <f t="shared" si="38"/>
        <v>0.2</v>
      </c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spans="2:31" x14ac:dyDescent="0.3">
      <c r="B180" s="3">
        <f>$B$10</f>
        <v>0.1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T180" s="3">
        <f t="shared" si="38"/>
        <v>0.2</v>
      </c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spans="2:31" x14ac:dyDescent="0.3">
      <c r="B181" s="3">
        <f>$B$11</f>
        <v>0.1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T181" s="3">
        <f>$B$11</f>
        <v>0.1</v>
      </c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7" spans="2:31" x14ac:dyDescent="0.3">
      <c r="B187" s="8" t="s">
        <v>4</v>
      </c>
      <c r="C187" s="8"/>
      <c r="D187" s="8"/>
      <c r="E187" s="8"/>
      <c r="F187" s="8" t="s">
        <v>5</v>
      </c>
      <c r="G187" s="8"/>
      <c r="H187" s="8"/>
      <c r="I187" s="8"/>
      <c r="J187" s="8" t="s">
        <v>6</v>
      </c>
      <c r="K187" s="8"/>
      <c r="L187" s="8"/>
      <c r="M187" s="8"/>
      <c r="T187" s="9" t="s">
        <v>4</v>
      </c>
      <c r="U187" s="10"/>
      <c r="V187" s="10"/>
      <c r="W187" s="11"/>
      <c r="X187" s="9" t="s">
        <v>5</v>
      </c>
      <c r="Y187" s="10"/>
      <c r="Z187" s="10"/>
      <c r="AA187" s="11"/>
      <c r="AB187" s="9" t="s">
        <v>6</v>
      </c>
      <c r="AC187" s="10"/>
      <c r="AD187" s="10"/>
      <c r="AE187" s="11"/>
    </row>
    <row r="188" spans="2:31" x14ac:dyDescent="0.3"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T188" s="12"/>
      <c r="U188" s="13"/>
      <c r="V188" s="13"/>
      <c r="W188" s="14"/>
      <c r="X188" s="12"/>
      <c r="Y188" s="13"/>
      <c r="Z188" s="13"/>
      <c r="AA188" s="14"/>
      <c r="AB188" s="12"/>
      <c r="AC188" s="13"/>
      <c r="AD188" s="13"/>
      <c r="AE188" s="14"/>
    </row>
    <row r="189" spans="2:31" x14ac:dyDescent="0.3">
      <c r="B189" s="3" t="s">
        <v>0</v>
      </c>
      <c r="C189" s="3" t="s">
        <v>1</v>
      </c>
      <c r="D189" s="3" t="s">
        <v>2</v>
      </c>
      <c r="E189" s="3" t="s">
        <v>3</v>
      </c>
      <c r="F189" s="3" t="s">
        <v>0</v>
      </c>
      <c r="G189" s="3" t="s">
        <v>1</v>
      </c>
      <c r="H189" s="3" t="s">
        <v>2</v>
      </c>
      <c r="I189" s="3" t="s">
        <v>3</v>
      </c>
      <c r="J189" s="3" t="s">
        <v>0</v>
      </c>
      <c r="K189" s="3" t="s">
        <v>1</v>
      </c>
      <c r="L189" s="3" t="s">
        <v>2</v>
      </c>
      <c r="M189" s="3" t="s">
        <v>3</v>
      </c>
      <c r="T189" s="3" t="s">
        <v>0</v>
      </c>
      <c r="U189" s="3" t="s">
        <v>1</v>
      </c>
      <c r="V189" s="3" t="s">
        <v>2</v>
      </c>
      <c r="W189" s="3" t="s">
        <v>3</v>
      </c>
      <c r="X189" s="3" t="s">
        <v>0</v>
      </c>
      <c r="Y189" s="3" t="s">
        <v>1</v>
      </c>
      <c r="Z189" s="3" t="s">
        <v>2</v>
      </c>
      <c r="AA189" s="3" t="s">
        <v>3</v>
      </c>
      <c r="AB189" s="3" t="s">
        <v>0</v>
      </c>
      <c r="AC189" s="3" t="s">
        <v>1</v>
      </c>
      <c r="AD189" s="3" t="s">
        <v>2</v>
      </c>
      <c r="AE189" s="3" t="s">
        <v>3</v>
      </c>
    </row>
    <row r="190" spans="2:31" x14ac:dyDescent="0.3">
      <c r="B190" s="3">
        <f>$B$4</f>
        <v>0.1</v>
      </c>
      <c r="C190" s="3">
        <f>U174</f>
        <v>9.9965059838772616E-2</v>
      </c>
      <c r="D190" s="3">
        <f>B190*C190+B191*C191</f>
        <v>2.9993011967754522E-2</v>
      </c>
      <c r="E190" s="3">
        <f>1/(1+EXP(-D190))</f>
        <v>0.50749769093548536</v>
      </c>
      <c r="F190" s="3">
        <f>E190</f>
        <v>0.50749769093548536</v>
      </c>
      <c r="G190" s="3">
        <f>Y174</f>
        <v>9.9943844629308276E-2</v>
      </c>
      <c r="H190" s="3">
        <f>F190*G190+F191*G191</f>
        <v>0.15418910393341348</v>
      </c>
      <c r="I190" s="3">
        <f>1/(1+EXP(-H190))</f>
        <v>0.5384710876335701</v>
      </c>
      <c r="J190" s="3">
        <f>I190</f>
        <v>0.5384710876335701</v>
      </c>
      <c r="K190" s="3">
        <f>AC174</f>
        <v>-8.7177064434568755E-2</v>
      </c>
      <c r="L190" s="3">
        <f>J190*K190+J191*K191</f>
        <v>7.5684047429647239E-2</v>
      </c>
      <c r="M190" s="3">
        <f>1/(1+EXP(-L190))</f>
        <v>0.5189119852798959</v>
      </c>
      <c r="T190" s="3">
        <f>$O$19</f>
        <v>0.2</v>
      </c>
      <c r="U190" s="3">
        <f>C205</f>
        <v>9.9961230682856769E-2</v>
      </c>
      <c r="V190" s="3">
        <f>T190*U190+T191*U191</f>
        <v>5.998449227314271E-2</v>
      </c>
      <c r="W190" s="3">
        <f>1/(1+EXP(-V190))</f>
        <v>0.51499162817394117</v>
      </c>
      <c r="X190" s="3">
        <f>W190</f>
        <v>0.51499162817394117</v>
      </c>
      <c r="Y190" s="3">
        <f>G205</f>
        <v>0.10007458907348447</v>
      </c>
      <c r="Z190" s="3">
        <f>X190*Y190+X191*Y191</f>
        <v>0.15856516531345444</v>
      </c>
      <c r="AA190" s="3">
        <f>1/(1+EXP(-Z190))</f>
        <v>0.53955844150690468</v>
      </c>
      <c r="AB190" s="3">
        <f>AA190</f>
        <v>0.53955844150690468</v>
      </c>
      <c r="AC190" s="3">
        <f>K205</f>
        <v>-0.1127893308531018</v>
      </c>
      <c r="AD190" s="3">
        <f>AB190*AC190+AB191*AC191</f>
        <v>6.2216643721014347E-2</v>
      </c>
      <c r="AE190" s="3">
        <f>1/(1+EXP(-AD190))</f>
        <v>0.51554914547427921</v>
      </c>
    </row>
    <row r="191" spans="2:31" x14ac:dyDescent="0.3">
      <c r="B191" s="3">
        <f>$B$5</f>
        <v>0.1</v>
      </c>
      <c r="C191" s="3">
        <f>U175</f>
        <v>0.19996505983877261</v>
      </c>
      <c r="D191" s="3">
        <f>B190*C192+B191*C193</f>
        <v>6.99906215422402E-2</v>
      </c>
      <c r="E191" s="3">
        <f>1/(1+EXP(-D191))</f>
        <v>0.51749051592137429</v>
      </c>
      <c r="F191" s="3">
        <f>E191</f>
        <v>0.51749051592137429</v>
      </c>
      <c r="G191" s="3">
        <f t="shared" ref="G191:G193" si="39">Y175</f>
        <v>0.19994150690202245</v>
      </c>
      <c r="H191" s="3">
        <f>F190*G192+F191*G193</f>
        <v>0.35732686992732299</v>
      </c>
      <c r="I191" s="3">
        <f>1/(1+EXP(-H191))</f>
        <v>0.588393190978166</v>
      </c>
      <c r="J191" s="3">
        <f>I191</f>
        <v>0.588393190978166</v>
      </c>
      <c r="K191" s="3">
        <f>AC175</f>
        <v>0.20840889733712384</v>
      </c>
      <c r="L191" s="3"/>
      <c r="M191" s="3"/>
      <c r="T191" s="3">
        <f t="shared" ref="T191:T197" si="40">$O$19</f>
        <v>0.2</v>
      </c>
      <c r="U191" s="3">
        <f t="shared" ref="U191:U193" si="41">C206</f>
        <v>0.19996123068285676</v>
      </c>
      <c r="V191" s="3">
        <f>T190*U192+T191*U193</f>
        <v>0.13997937107150712</v>
      </c>
      <c r="W191" s="3">
        <f>1/(1+EXP(-V191))</f>
        <v>0.53493781311050803</v>
      </c>
      <c r="X191" s="3">
        <f>W191</f>
        <v>0.53493781311050803</v>
      </c>
      <c r="Y191" s="3">
        <f t="shared" ref="Y191:Y193" si="42">G206</f>
        <v>0.20007482575465776</v>
      </c>
      <c r="Z191" s="3">
        <f>X190*Y192+X191*Y193</f>
        <v>0.36618404647629704</v>
      </c>
      <c r="AA191" s="3">
        <f>1/(1+EXP(-Z191))</f>
        <v>0.59053658873131809</v>
      </c>
      <c r="AB191" s="3">
        <f>AA191</f>
        <v>0.59053658873131809</v>
      </c>
      <c r="AC191" s="3">
        <f>K206</f>
        <v>0.20840889733712384</v>
      </c>
      <c r="AD191" s="3"/>
      <c r="AE191" s="3"/>
    </row>
    <row r="192" spans="2:31" x14ac:dyDescent="0.3">
      <c r="B192" s="3">
        <f>$B$6</f>
        <v>0.1</v>
      </c>
      <c r="C192" s="3">
        <f t="shared" ref="C192:C193" si="43">U176</f>
        <v>0.29995310771120098</v>
      </c>
      <c r="D192" s="3"/>
      <c r="E192" s="3"/>
      <c r="F192" s="3"/>
      <c r="G192" s="3">
        <f t="shared" si="39"/>
        <v>0.29815128555295006</v>
      </c>
      <c r="H192" s="3"/>
      <c r="I192" s="3"/>
      <c r="J192" s="3"/>
      <c r="K192" s="3"/>
      <c r="L192" s="3"/>
      <c r="M192" s="3"/>
      <c r="T192" s="3">
        <f t="shared" si="40"/>
        <v>0.2</v>
      </c>
      <c r="U192" s="3">
        <f t="shared" si="41"/>
        <v>0.29994842767876778</v>
      </c>
      <c r="V192" s="3"/>
      <c r="W192" s="3"/>
      <c r="X192" s="3"/>
      <c r="Y192" s="3">
        <f t="shared" si="42"/>
        <v>0.29784668818580717</v>
      </c>
      <c r="Z192" s="3"/>
      <c r="AA192" s="3"/>
      <c r="AB192" s="3"/>
      <c r="AC192" s="3"/>
      <c r="AD192" s="3"/>
      <c r="AE192" s="3"/>
    </row>
    <row r="193" spans="1:31" x14ac:dyDescent="0.3">
      <c r="B193" s="3">
        <f>$B$7</f>
        <v>0.1</v>
      </c>
      <c r="C193" s="3">
        <f t="shared" si="43"/>
        <v>0.39995310771120102</v>
      </c>
      <c r="D193" s="3"/>
      <c r="E193" s="3"/>
      <c r="F193" s="3"/>
      <c r="G193" s="3">
        <f t="shared" si="39"/>
        <v>0.39810542342587701</v>
      </c>
      <c r="H193" s="3"/>
      <c r="I193" s="3"/>
      <c r="J193" s="3"/>
      <c r="K193" s="3"/>
      <c r="L193" s="3"/>
      <c r="M193" s="3"/>
      <c r="T193" s="3">
        <f t="shared" si="40"/>
        <v>0.2</v>
      </c>
      <c r="U193" s="3">
        <f t="shared" si="41"/>
        <v>0.39994842767876781</v>
      </c>
      <c r="V193" s="3"/>
      <c r="W193" s="3"/>
      <c r="X193" s="3"/>
      <c r="Y193" s="3">
        <f t="shared" si="42"/>
        <v>0.39779482841926622</v>
      </c>
      <c r="Z193" s="3"/>
      <c r="AA193" s="3"/>
      <c r="AB193" s="3"/>
      <c r="AC193" s="3"/>
      <c r="AD193" s="3"/>
      <c r="AE193" s="3"/>
    </row>
    <row r="194" spans="1:31" x14ac:dyDescent="0.3">
      <c r="B194" s="3">
        <f>$B$8</f>
        <v>0.1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T194" s="3">
        <f t="shared" si="40"/>
        <v>0.2</v>
      </c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spans="1:31" x14ac:dyDescent="0.3">
      <c r="B195" s="3">
        <f>$B$9</f>
        <v>0.1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T195" s="3">
        <f t="shared" si="40"/>
        <v>0.2</v>
      </c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spans="1:31" x14ac:dyDescent="0.3">
      <c r="B196" s="3">
        <f>$B$10</f>
        <v>0.1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T196" s="3">
        <f t="shared" si="40"/>
        <v>0.2</v>
      </c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spans="1:31" x14ac:dyDescent="0.3">
      <c r="B197" s="3">
        <f>$B$11</f>
        <v>0.1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T197" s="3">
        <f t="shared" si="40"/>
        <v>0.2</v>
      </c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9" spans="1:31" x14ac:dyDescent="0.3">
      <c r="A199" s="4" t="s">
        <v>7</v>
      </c>
      <c r="B199" s="5">
        <f>E190 * (1 - E190) * (G190 * F199 + G192 * F200)</f>
        <v>-3.8291559158532847E-4</v>
      </c>
      <c r="C199" s="6"/>
      <c r="D199" s="6"/>
      <c r="E199" s="7"/>
      <c r="F199" s="5">
        <f>I190 * (1 - I190) * K190 *J199</f>
        <v>2.5762569271043519E-3</v>
      </c>
      <c r="G199" s="6"/>
      <c r="H199" s="6"/>
      <c r="I199" s="7"/>
      <c r="J199" s="5">
        <f>$P$18 - M190</f>
        <v>-0.11891198527989588</v>
      </c>
      <c r="K199" s="6"/>
      <c r="L199" s="6"/>
      <c r="M199" s="7"/>
      <c r="S199" s="4" t="s">
        <v>7</v>
      </c>
      <c r="T199" s="5">
        <f>W190 * (1 - W190) * (Y190 * X199 + Y192 * X200)</f>
        <v>-4.7403580098984548E-5</v>
      </c>
      <c r="U199" s="6"/>
      <c r="V199" s="6"/>
      <c r="W199" s="7"/>
      <c r="X199" s="5">
        <f>AA190 * (1 - AA190) * AC190 *AB199</f>
        <v>4.3569999369862393E-4</v>
      </c>
      <c r="Y199" s="6"/>
      <c r="Z199" s="6"/>
      <c r="AA199" s="7"/>
      <c r="AB199" s="5">
        <f>$P$19 - AE190</f>
        <v>-1.5549145474279213E-2</v>
      </c>
      <c r="AC199" s="6"/>
      <c r="AD199" s="6"/>
      <c r="AE199" s="7"/>
    </row>
    <row r="200" spans="1:31" x14ac:dyDescent="0.3">
      <c r="B200" s="5">
        <f>E191 * (1 - E191) * (G191 * F199 + G193 * F200)</f>
        <v>-4.6800324332262706E-4</v>
      </c>
      <c r="C200" s="6"/>
      <c r="D200" s="6"/>
      <c r="E200" s="7"/>
      <c r="F200" s="5">
        <f>J191 * (1 - J191) * K191 * J199</f>
        <v>-6.001945872530022E-3</v>
      </c>
      <c r="G200" s="6"/>
      <c r="H200" s="6"/>
      <c r="I200" s="7"/>
      <c r="T200" s="5">
        <f>W191 * (1 - W191) * (Y191 * X199 + Y193 * X200)</f>
        <v>-5.5859034581820611E-5</v>
      </c>
      <c r="U200" s="6"/>
      <c r="V200" s="6"/>
      <c r="W200" s="7"/>
      <c r="X200" s="5">
        <f>AB191 * (1 - AB191) * AC191 * AB199</f>
        <v>-7.8358243793293049E-4</v>
      </c>
      <c r="Y200" s="6"/>
      <c r="Z200" s="6"/>
      <c r="AA200" s="7"/>
    </row>
    <row r="202" spans="1:31" x14ac:dyDescent="0.3">
      <c r="B202" s="8" t="s">
        <v>4</v>
      </c>
      <c r="C202" s="8"/>
      <c r="D202" s="8"/>
      <c r="E202" s="8"/>
      <c r="F202" s="8" t="s">
        <v>5</v>
      </c>
      <c r="G202" s="8"/>
      <c r="H202" s="8"/>
      <c r="I202" s="8"/>
      <c r="J202" s="8" t="s">
        <v>6</v>
      </c>
      <c r="K202" s="8"/>
      <c r="L202" s="8"/>
      <c r="M202" s="8"/>
      <c r="T202" s="9" t="s">
        <v>4</v>
      </c>
      <c r="U202" s="10"/>
      <c r="V202" s="10"/>
      <c r="W202" s="11"/>
      <c r="X202" s="9" t="s">
        <v>5</v>
      </c>
      <c r="Y202" s="10"/>
      <c r="Z202" s="10"/>
      <c r="AA202" s="11"/>
      <c r="AB202" s="9" t="s">
        <v>6</v>
      </c>
      <c r="AC202" s="10"/>
      <c r="AD202" s="10"/>
      <c r="AE202" s="11"/>
    </row>
    <row r="203" spans="1:31" x14ac:dyDescent="0.3"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T203" s="12"/>
      <c r="U203" s="13"/>
      <c r="V203" s="13"/>
      <c r="W203" s="14"/>
      <c r="X203" s="12"/>
      <c r="Y203" s="13"/>
      <c r="Z203" s="13"/>
      <c r="AA203" s="14"/>
      <c r="AB203" s="12"/>
      <c r="AC203" s="13"/>
      <c r="AD203" s="13"/>
      <c r="AE203" s="14"/>
    </row>
    <row r="204" spans="1:31" x14ac:dyDescent="0.3">
      <c r="B204" s="3" t="s">
        <v>0</v>
      </c>
      <c r="C204" s="3" t="s">
        <v>1</v>
      </c>
      <c r="D204" s="3" t="s">
        <v>2</v>
      </c>
      <c r="E204" s="3" t="s">
        <v>3</v>
      </c>
      <c r="F204" s="3" t="s">
        <v>0</v>
      </c>
      <c r="G204" s="3" t="s">
        <v>1</v>
      </c>
      <c r="H204" s="3" t="s">
        <v>2</v>
      </c>
      <c r="I204" s="3" t="s">
        <v>3</v>
      </c>
      <c r="J204" s="3" t="s">
        <v>0</v>
      </c>
      <c r="K204" s="3" t="s">
        <v>1</v>
      </c>
      <c r="L204" s="3" t="s">
        <v>2</v>
      </c>
      <c r="M204" s="3" t="s">
        <v>3</v>
      </c>
      <c r="T204" s="3">
        <f>$O$19</f>
        <v>0.2</v>
      </c>
      <c r="U204" s="3" t="s">
        <v>1</v>
      </c>
      <c r="V204" s="3" t="s">
        <v>2</v>
      </c>
      <c r="W204" s="3" t="s">
        <v>3</v>
      </c>
      <c r="X204" s="3" t="s">
        <v>0</v>
      </c>
      <c r="Y204" s="3" t="s">
        <v>1</v>
      </c>
      <c r="Z204" s="3" t="s">
        <v>2</v>
      </c>
      <c r="AA204" s="3" t="s">
        <v>3</v>
      </c>
      <c r="AB204" s="3" t="s">
        <v>0</v>
      </c>
      <c r="AC204" s="3" t="s">
        <v>1</v>
      </c>
      <c r="AD204" s="3" t="s">
        <v>2</v>
      </c>
      <c r="AE204" s="3" t="s">
        <v>3</v>
      </c>
    </row>
    <row r="205" spans="1:31" x14ac:dyDescent="0.3">
      <c r="B205" s="3">
        <f>$B$4</f>
        <v>0.1</v>
      </c>
      <c r="C205" s="3">
        <f>C190 + $O$7 * B190 * B199</f>
        <v>9.9961230682856769E-2</v>
      </c>
      <c r="D205" s="3">
        <f>B205*C205+B206*C206</f>
        <v>2.9992246136571355E-2</v>
      </c>
      <c r="E205" s="3">
        <f>1/(1+EXP(-D205))</f>
        <v>0.50749749952073997</v>
      </c>
      <c r="F205" s="3">
        <f>E205</f>
        <v>0.50749749952073997</v>
      </c>
      <c r="G205" s="3">
        <f>G190 + $O$7 * F190 * F199</f>
        <v>0.10007458907348447</v>
      </c>
      <c r="H205" s="3">
        <f>F205*G205+F206*G206</f>
        <v>0.15432438176247112</v>
      </c>
      <c r="I205" s="3">
        <f>1/(1+EXP(-H205))</f>
        <v>0.53850470670130735</v>
      </c>
      <c r="J205" s="3">
        <f>I205</f>
        <v>0.53850470670130735</v>
      </c>
      <c r="K205" s="3">
        <f>K190 + $P$18 * J190 * J199</f>
        <v>-0.1127893308531018</v>
      </c>
      <c r="L205" s="3">
        <f>J205*K205+J206*K206</f>
        <v>6.1872867555482408E-2</v>
      </c>
      <c r="M205" s="3">
        <f>1/(1+EXP(-L205))</f>
        <v>0.5154632840915766</v>
      </c>
      <c r="T205" s="3">
        <f t="shared" ref="T205:T211" si="44">$O$19</f>
        <v>0.2</v>
      </c>
      <c r="U205" s="3">
        <f>U190 + $O$7 * T190 * T199</f>
        <v>9.9960282611254794E-2</v>
      </c>
      <c r="V205" s="3">
        <f>T205*U205+T206*U206</f>
        <v>5.9984113044501922E-2</v>
      </c>
      <c r="W205" s="3">
        <f>1/(1+EXP(-V205))</f>
        <v>0.51499153345201165</v>
      </c>
      <c r="X205" s="3">
        <f>W205</f>
        <v>0.51499153345201165</v>
      </c>
      <c r="Y205" s="3">
        <f>Y190 + $O$7 * X190 * X199</f>
        <v>0.1000970272583995</v>
      </c>
      <c r="Z205" s="3">
        <f>X205*Y205+X206*Y206</f>
        <v>0.15858915698811626</v>
      </c>
      <c r="AA205" s="3">
        <f>1/(1+EXP(-Z205))</f>
        <v>0.53956440187605403</v>
      </c>
      <c r="AB205" s="3">
        <f>AA205</f>
        <v>0.53956440187605403</v>
      </c>
      <c r="AC205" s="3">
        <f>AC190 +  $P$19 * AB190 * AB199</f>
        <v>-0.11698416720253492</v>
      </c>
      <c r="AD205" s="3">
        <f>AB205*AC205+AB206*AC206</f>
        <v>5.9950406173084073E-2</v>
      </c>
      <c r="AE205" s="3">
        <f>1/(1+EXP(-AD205))</f>
        <v>0.51498311430539068</v>
      </c>
    </row>
    <row r="206" spans="1:31" x14ac:dyDescent="0.3">
      <c r="B206" s="3">
        <f>$B$5</f>
        <v>0.1</v>
      </c>
      <c r="C206" s="3">
        <f>C191 + $O$7 * B191 * B199</f>
        <v>0.19996123068285676</v>
      </c>
      <c r="D206" s="3">
        <f>B205*C207+B206*C208</f>
        <v>6.9989685535753562E-2</v>
      </c>
      <c r="E206" s="3">
        <f>1/(1+EXP(-D206))</f>
        <v>0.51749028220609028</v>
      </c>
      <c r="F206" s="3">
        <f>E206</f>
        <v>0.51749028220609028</v>
      </c>
      <c r="G206" s="3">
        <f>G191 + $O$7 * F191 * F199</f>
        <v>0.20007482575465776</v>
      </c>
      <c r="H206" s="3">
        <f>F205*G207+F206*G208</f>
        <v>0.35701140751364002</v>
      </c>
      <c r="I206" s="3">
        <f>1/(1+EXP(-H206))</f>
        <v>0.58831678806511367</v>
      </c>
      <c r="J206" s="3">
        <f>I206</f>
        <v>0.58831678806511367</v>
      </c>
      <c r="K206" s="3">
        <f>K191 + $P$18 * J191 * J200</f>
        <v>0.20840889733712384</v>
      </c>
      <c r="L206" s="3"/>
      <c r="M206" s="3"/>
      <c r="T206" s="3">
        <f t="shared" si="44"/>
        <v>0.2</v>
      </c>
      <c r="U206" s="3">
        <f>U191 + $O$7 * T191 * T199</f>
        <v>0.19996028261125479</v>
      </c>
      <c r="V206" s="3">
        <f>T205*U207+T206*U208</f>
        <v>0.13997892419923047</v>
      </c>
      <c r="W206" s="3">
        <f>1/(1+EXP(-V206))</f>
        <v>0.53493770193791212</v>
      </c>
      <c r="X206" s="3">
        <f>W206</f>
        <v>0.53493770193791212</v>
      </c>
      <c r="Y206" s="3">
        <f>Y191 + $O$7 * X191 * X199</f>
        <v>0.20009813299483792</v>
      </c>
      <c r="Z206" s="3">
        <f>X205*Y207+X206*Y208</f>
        <v>0.36614076928407135</v>
      </c>
      <c r="AA206" s="3">
        <f>1/(1+EXP(-Z206))</f>
        <v>0.59052612412994865</v>
      </c>
      <c r="AB206" s="3">
        <f>AA206</f>
        <v>0.59052612412994865</v>
      </c>
      <c r="AC206" s="3">
        <f>AC191 +  $P$19 * AB191 * AB200</f>
        <v>0.20840889733712384</v>
      </c>
      <c r="AD206" s="3"/>
      <c r="AE206" s="3"/>
    </row>
    <row r="207" spans="1:31" x14ac:dyDescent="0.3">
      <c r="B207" s="3">
        <f>$B$6</f>
        <v>0.1</v>
      </c>
      <c r="C207" s="3">
        <f>C192 + $O$7 * B190 * B200</f>
        <v>0.29994842767876778</v>
      </c>
      <c r="D207" s="3"/>
      <c r="E207" s="3"/>
      <c r="F207" s="3"/>
      <c r="G207" s="3">
        <f>G192 + $O$7 * F190 * F200</f>
        <v>0.29784668818580717</v>
      </c>
      <c r="H207" s="3"/>
      <c r="I207" s="3"/>
      <c r="J207" s="3"/>
      <c r="K207" s="3"/>
      <c r="L207" s="3"/>
      <c r="M207" s="3"/>
      <c r="T207" s="3">
        <f t="shared" si="44"/>
        <v>0.2</v>
      </c>
      <c r="U207" s="3">
        <f>U192 + $O$7 * T190 * T200</f>
        <v>0.29994731049807616</v>
      </c>
      <c r="V207" s="3"/>
      <c r="W207" s="3"/>
      <c r="X207" s="3"/>
      <c r="Y207" s="3">
        <f>Y192 + $O$7 * X190 * X200</f>
        <v>0.2978063343462552</v>
      </c>
      <c r="Z207" s="3"/>
      <c r="AA207" s="3"/>
      <c r="AB207" s="3"/>
      <c r="AC207" s="3"/>
      <c r="AD207" s="3"/>
      <c r="AE207" s="3"/>
    </row>
    <row r="208" spans="1:31" x14ac:dyDescent="0.3">
      <c r="B208" s="3">
        <f>$B$7</f>
        <v>0.1</v>
      </c>
      <c r="C208" s="3">
        <f>C193 + $O$7 * B191* B200</f>
        <v>0.39994842767876781</v>
      </c>
      <c r="D208" s="3"/>
      <c r="E208" s="3"/>
      <c r="F208" s="3"/>
      <c r="G208" s="3">
        <f>G193 + $O$7 * F191* F200</f>
        <v>0.39779482841926622</v>
      </c>
      <c r="H208" s="3"/>
      <c r="I208" s="3"/>
      <c r="J208" s="3"/>
      <c r="K208" s="3"/>
      <c r="L208" s="3"/>
      <c r="M208" s="3"/>
      <c r="T208" s="3">
        <f t="shared" si="44"/>
        <v>0.2</v>
      </c>
      <c r="U208" s="3">
        <f>U193 + $O$7 * T191* T200</f>
        <v>0.39994731049807619</v>
      </c>
      <c r="V208" s="3"/>
      <c r="W208" s="3"/>
      <c r="X208" s="3"/>
      <c r="Y208" s="3">
        <f>Y193 + $O$7 * X191* X200</f>
        <v>0.39775291163169224</v>
      </c>
      <c r="Z208" s="3"/>
      <c r="AA208" s="3"/>
      <c r="AB208" s="3"/>
      <c r="AC208" s="3"/>
      <c r="AD208" s="3"/>
      <c r="AE208" s="3"/>
    </row>
    <row r="209" spans="2:31" x14ac:dyDescent="0.3">
      <c r="B209" s="3">
        <f>$B$8</f>
        <v>0.1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T209" s="3">
        <f t="shared" si="44"/>
        <v>0.2</v>
      </c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 spans="2:31" x14ac:dyDescent="0.3">
      <c r="B210" s="3">
        <f>$B$9</f>
        <v>0.1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T210" s="3">
        <f t="shared" si="44"/>
        <v>0.2</v>
      </c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 spans="2:31" x14ac:dyDescent="0.3">
      <c r="B211" s="3">
        <f>$B$10</f>
        <v>0.1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T211" s="3">
        <f t="shared" si="44"/>
        <v>0.2</v>
      </c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 spans="2:31" x14ac:dyDescent="0.3">
      <c r="B212" s="3">
        <f>$B$11</f>
        <v>0.1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T212" s="3">
        <f>$B$11</f>
        <v>0.1</v>
      </c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8" spans="2:31" x14ac:dyDescent="0.3">
      <c r="B218" s="8" t="s">
        <v>4</v>
      </c>
      <c r="C218" s="8"/>
      <c r="D218" s="8"/>
      <c r="E218" s="8"/>
      <c r="F218" s="8" t="s">
        <v>5</v>
      </c>
      <c r="G218" s="8"/>
      <c r="H218" s="8"/>
      <c r="I218" s="8"/>
      <c r="J218" s="8" t="s">
        <v>6</v>
      </c>
      <c r="K218" s="8"/>
      <c r="L218" s="8"/>
      <c r="M218" s="8"/>
      <c r="T218" s="9" t="s">
        <v>4</v>
      </c>
      <c r="U218" s="10"/>
      <c r="V218" s="10"/>
      <c r="W218" s="11"/>
      <c r="X218" s="9" t="s">
        <v>5</v>
      </c>
      <c r="Y218" s="10"/>
      <c r="Z218" s="10"/>
      <c r="AA218" s="11"/>
      <c r="AB218" s="9" t="s">
        <v>6</v>
      </c>
      <c r="AC218" s="10"/>
      <c r="AD218" s="10"/>
      <c r="AE218" s="11"/>
    </row>
    <row r="219" spans="2:31" x14ac:dyDescent="0.3"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T219" s="12"/>
      <c r="U219" s="13"/>
      <c r="V219" s="13"/>
      <c r="W219" s="14"/>
      <c r="X219" s="12"/>
      <c r="Y219" s="13"/>
      <c r="Z219" s="13"/>
      <c r="AA219" s="14"/>
      <c r="AB219" s="12"/>
      <c r="AC219" s="13"/>
      <c r="AD219" s="13"/>
      <c r="AE219" s="14"/>
    </row>
    <row r="220" spans="2:31" x14ac:dyDescent="0.3">
      <c r="B220" s="3" t="s">
        <v>0</v>
      </c>
      <c r="C220" s="3" t="s">
        <v>1</v>
      </c>
      <c r="D220" s="3" t="s">
        <v>2</v>
      </c>
      <c r="E220" s="3" t="s">
        <v>3</v>
      </c>
      <c r="F220" s="3" t="s">
        <v>0</v>
      </c>
      <c r="G220" s="3" t="s">
        <v>1</v>
      </c>
      <c r="H220" s="3" t="s">
        <v>2</v>
      </c>
      <c r="I220" s="3" t="s">
        <v>3</v>
      </c>
      <c r="J220" s="3" t="s">
        <v>0</v>
      </c>
      <c r="K220" s="3" t="s">
        <v>1</v>
      </c>
      <c r="L220" s="3" t="s">
        <v>2</v>
      </c>
      <c r="M220" s="3" t="s">
        <v>3</v>
      </c>
      <c r="T220" s="3" t="s">
        <v>0</v>
      </c>
      <c r="U220" s="3" t="s">
        <v>1</v>
      </c>
      <c r="V220" s="3" t="s">
        <v>2</v>
      </c>
      <c r="W220" s="3" t="s">
        <v>3</v>
      </c>
      <c r="X220" s="3" t="s">
        <v>0</v>
      </c>
      <c r="Y220" s="3" t="s">
        <v>1</v>
      </c>
      <c r="Z220" s="3" t="s">
        <v>2</v>
      </c>
      <c r="AA220" s="3" t="s">
        <v>3</v>
      </c>
      <c r="AB220" s="3" t="s">
        <v>0</v>
      </c>
      <c r="AC220" s="3" t="s">
        <v>1</v>
      </c>
      <c r="AD220" s="3" t="s">
        <v>2</v>
      </c>
      <c r="AE220" s="3" t="s">
        <v>3</v>
      </c>
    </row>
    <row r="221" spans="2:31" x14ac:dyDescent="0.3">
      <c r="B221" s="3">
        <f>$B$4</f>
        <v>0.1</v>
      </c>
      <c r="C221" s="3">
        <f>U205</f>
        <v>9.9960282611254794E-2</v>
      </c>
      <c r="D221" s="3">
        <f>B221*C221+B222*C222</f>
        <v>2.9992056522250961E-2</v>
      </c>
      <c r="E221" s="3">
        <f>1/(1+EXP(-D221))</f>
        <v>0.50749745212781849</v>
      </c>
      <c r="F221" s="3">
        <f>E221</f>
        <v>0.50749745212781849</v>
      </c>
      <c r="G221" s="3">
        <f>Y205</f>
        <v>0.1000970272583995</v>
      </c>
      <c r="H221" s="3">
        <f>F221*G221+F222*G222</f>
        <v>0.15434781444800538</v>
      </c>
      <c r="I221" s="3">
        <f>1/(1+EXP(-H221))</f>
        <v>0.53851053012584538</v>
      </c>
      <c r="J221" s="3">
        <f>I221</f>
        <v>0.53851053012584538</v>
      </c>
      <c r="K221" s="3">
        <f>AC205</f>
        <v>-0.11698416720253492</v>
      </c>
      <c r="L221" s="3">
        <f>J221*K221+J222*K222</f>
        <v>5.9611116696921457E-2</v>
      </c>
      <c r="M221" s="3">
        <f>1/(1+EXP(-L221))</f>
        <v>0.51489836767469865</v>
      </c>
      <c r="T221" s="3">
        <f>$O$19</f>
        <v>0.2</v>
      </c>
      <c r="U221" s="3">
        <f>C236</f>
        <v>9.9956801310935817E-2</v>
      </c>
      <c r="V221" s="3">
        <f>T221*U221+T222*U222</f>
        <v>5.9982720524374325E-2</v>
      </c>
      <c r="W221" s="3">
        <f>1/(1+EXP(-V221))</f>
        <v>0.51499118563493596</v>
      </c>
      <c r="X221" s="3">
        <f>W221</f>
        <v>0.51499118563493596</v>
      </c>
      <c r="Y221" s="3">
        <f>G236</f>
        <v>0.10026655110907016</v>
      </c>
      <c r="Z221" s="3">
        <f>X221*Y221+X222*Y222</f>
        <v>0.15876881423576492</v>
      </c>
      <c r="AA221" s="3">
        <f>1/(1+EXP(-Z221))</f>
        <v>0.53960903464557841</v>
      </c>
      <c r="AB221" s="3">
        <f>AA221</f>
        <v>0.53960903464557841</v>
      </c>
      <c r="AC221" s="3">
        <f>K236</f>
        <v>-0.14173375955737341</v>
      </c>
      <c r="AD221" s="3">
        <f>AB221*AC221+AB222*AC222</f>
        <v>4.6574337765982118E-2</v>
      </c>
      <c r="AE221" s="3">
        <f>1/(1+EXP(-AD221))</f>
        <v>0.51164148015614097</v>
      </c>
    </row>
    <row r="222" spans="2:31" x14ac:dyDescent="0.3">
      <c r="B222" s="3">
        <f>$B$5</f>
        <v>0.1</v>
      </c>
      <c r="C222" s="3">
        <f>U206</f>
        <v>0.19996028261125479</v>
      </c>
      <c r="D222" s="3">
        <f>B221*C223+B222*C224</f>
        <v>6.9989462099615235E-2</v>
      </c>
      <c r="E222" s="3">
        <f>1/(1+EXP(-D222))</f>
        <v>0.51749022641540676</v>
      </c>
      <c r="F222" s="3">
        <f>E222</f>
        <v>0.51749022641540676</v>
      </c>
      <c r="G222" s="3">
        <f t="shared" ref="G222:G224" si="45">Y206</f>
        <v>0.20009813299483792</v>
      </c>
      <c r="H222" s="3">
        <f>F221*G223+F222*G224</f>
        <v>0.35696920020592143</v>
      </c>
      <c r="I222" s="3">
        <f>1/(1+EXP(-H222))</f>
        <v>0.58830656541096182</v>
      </c>
      <c r="J222" s="3">
        <f>I222</f>
        <v>0.58830656541096182</v>
      </c>
      <c r="K222" s="3">
        <f>AC206</f>
        <v>0.20840889733712384</v>
      </c>
      <c r="L222" s="3"/>
      <c r="M222" s="3"/>
      <c r="T222" s="3">
        <f t="shared" ref="T222:T228" si="46">$O$19</f>
        <v>0.2</v>
      </c>
      <c r="U222" s="3">
        <f t="shared" ref="U222:U224" si="47">C237</f>
        <v>0.19995680131093582</v>
      </c>
      <c r="V222" s="3">
        <f>T221*U223+T222*U224</f>
        <v>0.13997728775017854</v>
      </c>
      <c r="W222" s="3">
        <f>1/(1+EXP(-V222))</f>
        <v>0.534937294823146</v>
      </c>
      <c r="X222" s="3">
        <f>W222</f>
        <v>0.534937294823146</v>
      </c>
      <c r="Y222" s="3">
        <f t="shared" ref="Y222:Y224" si="48">G237</f>
        <v>0.20027099482005212</v>
      </c>
      <c r="Z222" s="3">
        <f>X221*Y223+X222*Y224</f>
        <v>0.3658283730286146</v>
      </c>
      <c r="AA222" s="3">
        <f>1/(1+EXP(-Z222))</f>
        <v>0.59045058301119424</v>
      </c>
      <c r="AB222" s="3">
        <f>AA222</f>
        <v>0.59045058301119424</v>
      </c>
      <c r="AC222" s="3">
        <f>K237</f>
        <v>0.20840889733712384</v>
      </c>
      <c r="AD222" s="3"/>
      <c r="AE222" s="3"/>
    </row>
    <row r="223" spans="2:31" x14ac:dyDescent="0.3">
      <c r="B223" s="3">
        <f>$B$6</f>
        <v>0.1</v>
      </c>
      <c r="C223" s="3">
        <f t="shared" ref="C223:C224" si="49">U207</f>
        <v>0.29994731049807616</v>
      </c>
      <c r="D223" s="3"/>
      <c r="E223" s="3"/>
      <c r="F223" s="3"/>
      <c r="G223" s="3">
        <f t="shared" si="45"/>
        <v>0.2978063343462552</v>
      </c>
      <c r="H223" s="3"/>
      <c r="I223" s="3"/>
      <c r="J223" s="3"/>
      <c r="K223" s="3"/>
      <c r="L223" s="3"/>
      <c r="M223" s="3"/>
      <c r="T223" s="3">
        <f t="shared" si="46"/>
        <v>0.2</v>
      </c>
      <c r="U223" s="3">
        <f t="shared" si="47"/>
        <v>0.29994321937544627</v>
      </c>
      <c r="V223" s="3"/>
      <c r="W223" s="3"/>
      <c r="X223" s="3"/>
      <c r="Y223" s="3">
        <f t="shared" si="48"/>
        <v>0.29751199954339042</v>
      </c>
      <c r="Z223" s="3"/>
      <c r="AA223" s="3"/>
      <c r="AB223" s="3"/>
      <c r="AC223" s="3"/>
      <c r="AD223" s="3"/>
      <c r="AE223" s="3"/>
    </row>
    <row r="224" spans="2:31" x14ac:dyDescent="0.3">
      <c r="B224" s="3">
        <f>$B$7</f>
        <v>0.1</v>
      </c>
      <c r="C224" s="3">
        <f t="shared" si="49"/>
        <v>0.39994731049807619</v>
      </c>
      <c r="D224" s="3"/>
      <c r="E224" s="3"/>
      <c r="F224" s="3"/>
      <c r="G224" s="3">
        <f t="shared" si="45"/>
        <v>0.39775291163169224</v>
      </c>
      <c r="H224" s="3"/>
      <c r="I224" s="3"/>
      <c r="J224" s="3"/>
      <c r="K224" s="3"/>
      <c r="L224" s="3"/>
      <c r="M224" s="3"/>
      <c r="T224" s="3">
        <f t="shared" si="46"/>
        <v>0.2</v>
      </c>
      <c r="U224" s="3">
        <f t="shared" si="47"/>
        <v>0.3999432193754463</v>
      </c>
      <c r="V224" s="3"/>
      <c r="W224" s="3"/>
      <c r="X224" s="3"/>
      <c r="Y224" s="3">
        <f t="shared" si="48"/>
        <v>0.3974527812898791</v>
      </c>
      <c r="Z224" s="3"/>
      <c r="AA224" s="3"/>
      <c r="AB224" s="3"/>
      <c r="AC224" s="3"/>
      <c r="AD224" s="3"/>
      <c r="AE224" s="3"/>
    </row>
    <row r="225" spans="1:31" x14ac:dyDescent="0.3">
      <c r="B225" s="3">
        <f>$B$8</f>
        <v>0.1</v>
      </c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T225" s="3">
        <f t="shared" si="46"/>
        <v>0.2</v>
      </c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 spans="1:31" x14ac:dyDescent="0.3">
      <c r="B226" s="3">
        <f>$B$9</f>
        <v>0.1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T226" s="3">
        <f t="shared" si="46"/>
        <v>0.2</v>
      </c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 spans="1:31" x14ac:dyDescent="0.3">
      <c r="B227" s="3">
        <f>$B$10</f>
        <v>0.1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T227" s="3">
        <f t="shared" si="46"/>
        <v>0.2</v>
      </c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 spans="1:31" x14ac:dyDescent="0.3">
      <c r="B228" s="3">
        <f>$B$11</f>
        <v>0.1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T228" s="3">
        <f t="shared" si="46"/>
        <v>0.2</v>
      </c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30" spans="1:31" x14ac:dyDescent="0.3">
      <c r="A230" s="4" t="s">
        <v>7</v>
      </c>
      <c r="B230" s="5">
        <f>E221 * (1 - E221) * (G221 * F230 + G223 * F231)</f>
        <v>-3.4813003189728493E-4</v>
      </c>
      <c r="C230" s="6"/>
      <c r="D230" s="6"/>
      <c r="E230" s="7"/>
      <c r="F230" s="5">
        <f>I221 * (1 - I221) * K221 *J230</f>
        <v>3.3403882119978261E-3</v>
      </c>
      <c r="G230" s="6"/>
      <c r="H230" s="6"/>
      <c r="I230" s="7"/>
      <c r="J230" s="5">
        <f>$P$18 - M221</f>
        <v>-0.11489836767469863</v>
      </c>
      <c r="K230" s="6"/>
      <c r="L230" s="6"/>
      <c r="M230" s="7"/>
      <c r="S230" s="4" t="s">
        <v>7</v>
      </c>
      <c r="T230" s="5">
        <f>W221 * (1 - W221) * (Y221 * X230 + Y223 * X231)</f>
        <v>-3.3332362751999614E-5</v>
      </c>
      <c r="U230" s="6"/>
      <c r="V230" s="6"/>
      <c r="W230" s="7"/>
      <c r="X230" s="5">
        <f>AA221 * (1 - AA221) * AC221 *AB230</f>
        <v>4.0990905706657062E-4</v>
      </c>
      <c r="Y230" s="6"/>
      <c r="Z230" s="6"/>
      <c r="AA230" s="7"/>
      <c r="AB230" s="5">
        <f>$P$19 - AE221</f>
        <v>-1.1641480156140971E-2</v>
      </c>
      <c r="AC230" s="6"/>
      <c r="AD230" s="6"/>
      <c r="AE230" s="7"/>
    </row>
    <row r="231" spans="1:31" x14ac:dyDescent="0.3">
      <c r="B231" s="5">
        <f>E222 * (1 - E222) * (G222 * F230 + G224 * F231)</f>
        <v>-4.091122629877531E-4</v>
      </c>
      <c r="C231" s="6"/>
      <c r="D231" s="6"/>
      <c r="E231" s="7"/>
      <c r="F231" s="5">
        <f>J222 * (1 - J222) * K222 * J230</f>
        <v>-5.7997296662414943E-3</v>
      </c>
      <c r="G231" s="6"/>
      <c r="H231" s="6"/>
      <c r="I231" s="7"/>
      <c r="T231" s="5">
        <f>W222 * (1 - W222) * (Y222 * X230 + Y224 * X231)</f>
        <v>-3.7588501724724009E-5</v>
      </c>
      <c r="U231" s="6"/>
      <c r="V231" s="6"/>
      <c r="W231" s="7"/>
      <c r="X231" s="5">
        <f>AB222 * (1 - AB222) * AC222 * AB230</f>
        <v>-5.8669761911488865E-4</v>
      </c>
      <c r="Y231" s="6"/>
      <c r="Z231" s="6"/>
      <c r="AA231" s="7"/>
    </row>
    <row r="233" spans="1:31" x14ac:dyDescent="0.3">
      <c r="B233" s="8" t="s">
        <v>4</v>
      </c>
      <c r="C233" s="8"/>
      <c r="D233" s="8"/>
      <c r="E233" s="8"/>
      <c r="F233" s="8" t="s">
        <v>5</v>
      </c>
      <c r="G233" s="8"/>
      <c r="H233" s="8"/>
      <c r="I233" s="8"/>
      <c r="J233" s="8" t="s">
        <v>6</v>
      </c>
      <c r="K233" s="8"/>
      <c r="L233" s="8"/>
      <c r="M233" s="8"/>
      <c r="T233" s="9" t="s">
        <v>4</v>
      </c>
      <c r="U233" s="10"/>
      <c r="V233" s="10"/>
      <c r="W233" s="11"/>
      <c r="X233" s="9" t="s">
        <v>5</v>
      </c>
      <c r="Y233" s="10"/>
      <c r="Z233" s="10"/>
      <c r="AA233" s="11"/>
      <c r="AB233" s="9" t="s">
        <v>6</v>
      </c>
      <c r="AC233" s="10"/>
      <c r="AD233" s="10"/>
      <c r="AE233" s="11"/>
    </row>
    <row r="234" spans="1:31" x14ac:dyDescent="0.3"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T234" s="12"/>
      <c r="U234" s="13"/>
      <c r="V234" s="13"/>
      <c r="W234" s="14"/>
      <c r="X234" s="12"/>
      <c r="Y234" s="13"/>
      <c r="Z234" s="13"/>
      <c r="AA234" s="14"/>
      <c r="AB234" s="12"/>
      <c r="AC234" s="13"/>
      <c r="AD234" s="13"/>
      <c r="AE234" s="14"/>
    </row>
    <row r="235" spans="1:31" x14ac:dyDescent="0.3">
      <c r="B235" s="3" t="s">
        <v>0</v>
      </c>
      <c r="C235" s="3" t="s">
        <v>1</v>
      </c>
      <c r="D235" s="3" t="s">
        <v>2</v>
      </c>
      <c r="E235" s="3" t="s">
        <v>3</v>
      </c>
      <c r="F235" s="3" t="s">
        <v>0</v>
      </c>
      <c r="G235" s="3" t="s">
        <v>1</v>
      </c>
      <c r="H235" s="3" t="s">
        <v>2</v>
      </c>
      <c r="I235" s="3" t="s">
        <v>3</v>
      </c>
      <c r="J235" s="3" t="s">
        <v>0</v>
      </c>
      <c r="K235" s="3" t="s">
        <v>1</v>
      </c>
      <c r="L235" s="3" t="s">
        <v>2</v>
      </c>
      <c r="M235" s="3" t="s">
        <v>3</v>
      </c>
      <c r="T235" s="3">
        <f>$O$19</f>
        <v>0.2</v>
      </c>
      <c r="U235" s="3" t="s">
        <v>1</v>
      </c>
      <c r="V235" s="3" t="s">
        <v>2</v>
      </c>
      <c r="W235" s="3" t="s">
        <v>3</v>
      </c>
      <c r="X235" s="3" t="s">
        <v>0</v>
      </c>
      <c r="Y235" s="3" t="s">
        <v>1</v>
      </c>
      <c r="Z235" s="3" t="s">
        <v>2</v>
      </c>
      <c r="AA235" s="3" t="s">
        <v>3</v>
      </c>
      <c r="AB235" s="3" t="s">
        <v>0</v>
      </c>
      <c r="AC235" s="3" t="s">
        <v>1</v>
      </c>
      <c r="AD235" s="3" t="s">
        <v>2</v>
      </c>
      <c r="AE235" s="3" t="s">
        <v>3</v>
      </c>
    </row>
    <row r="236" spans="1:31" x14ac:dyDescent="0.3">
      <c r="B236" s="3">
        <f>$B$4</f>
        <v>0.1</v>
      </c>
      <c r="C236" s="3">
        <f>C221 + $O$7 * B221 * B230</f>
        <v>9.9956801310935817E-2</v>
      </c>
      <c r="D236" s="3">
        <f>B236*C236+B237*C237</f>
        <v>2.9991360262187162E-2</v>
      </c>
      <c r="E236" s="3">
        <f>1/(1+EXP(-D236))</f>
        <v>0.50749727810193956</v>
      </c>
      <c r="F236" s="3">
        <f>E236</f>
        <v>0.50749727810193956</v>
      </c>
      <c r="G236" s="3">
        <f>G221 + $O$7 * F221 * F230</f>
        <v>0.10026655110907016</v>
      </c>
      <c r="H236" s="3">
        <f>F236*G236+F237*G237</f>
        <v>0.15452324330985723</v>
      </c>
      <c r="I236" s="3">
        <f>1/(1+EXP(-H236))</f>
        <v>0.53855412687497195</v>
      </c>
      <c r="J236" s="3">
        <f>I236</f>
        <v>0.53855412687497195</v>
      </c>
      <c r="K236" s="3">
        <f>K221 + $P$18 * J221 * J230</f>
        <v>-0.14173375955737341</v>
      </c>
      <c r="L236" s="3">
        <f>J236*K236+J237*K237</f>
        <v>4.6261634556848133E-2</v>
      </c>
      <c r="M236" s="3">
        <f>1/(1+EXP(-L236))</f>
        <v>0.51156334644887036</v>
      </c>
      <c r="T236" s="3">
        <f t="shared" ref="T236:T242" si="50">$O$19</f>
        <v>0.2</v>
      </c>
      <c r="U236" s="3">
        <f>U221 + $O$7 * T221 * T230</f>
        <v>9.9956134663680779E-2</v>
      </c>
      <c r="V236" s="3">
        <f>T236*U236+T237*U237</f>
        <v>5.998245386547231E-2</v>
      </c>
      <c r="W236" s="3">
        <f>1/(1+EXP(-V236))</f>
        <v>0.51499111903013783</v>
      </c>
      <c r="X236" s="3">
        <f>W236</f>
        <v>0.51499111903013783</v>
      </c>
      <c r="Y236" s="3">
        <f>Y221 + $O$7 * X221 * X230</f>
        <v>0.10028766106420028</v>
      </c>
      <c r="Z236" s="3">
        <f>X236*Y236+X237*Y237</f>
        <v>0.15879139388492314</v>
      </c>
      <c r="AA236" s="3">
        <f>1/(1+EXP(-Z236))</f>
        <v>0.5396146441281896</v>
      </c>
      <c r="AB236" s="3">
        <f>AA236</f>
        <v>0.5396146441281896</v>
      </c>
      <c r="AC236" s="3">
        <f>AC221 +  $P$19 * AB221 * AB230</f>
        <v>-0.14487468349182386</v>
      </c>
      <c r="AD236" s="3">
        <f>AB236*AC236+AB237*AC237</f>
        <v>4.4877021363587219E-2</v>
      </c>
      <c r="AE236" s="3">
        <f>1/(1+EXP(-AD236))</f>
        <v>0.51121737280451562</v>
      </c>
    </row>
    <row r="237" spans="1:31" x14ac:dyDescent="0.3">
      <c r="B237" s="3">
        <f>$B$5</f>
        <v>0.1</v>
      </c>
      <c r="C237" s="3">
        <f>C222 + $O$7 * B222 * B230</f>
        <v>0.19995680131093582</v>
      </c>
      <c r="D237" s="3">
        <f>B236*C238+B237*C239</f>
        <v>6.9988643875089268E-2</v>
      </c>
      <c r="E237" s="3">
        <f>1/(1+EXP(-D237))</f>
        <v>0.51749002210957384</v>
      </c>
      <c r="F237" s="3">
        <f>E237</f>
        <v>0.51749002210957384</v>
      </c>
      <c r="G237" s="3">
        <f>G222 + $O$7 * F222 * F230</f>
        <v>0.20027099482005212</v>
      </c>
      <c r="H237" s="3">
        <f>F236*G238+F237*G239</f>
        <v>0.35666437854814725</v>
      </c>
      <c r="I237" s="3">
        <f>1/(1+EXP(-H237))</f>
        <v>0.5882327350241161</v>
      </c>
      <c r="J237" s="3">
        <f>I237</f>
        <v>0.5882327350241161</v>
      </c>
      <c r="K237" s="3">
        <f>K222 + $P$18 * J222 * J231</f>
        <v>0.20840889733712384</v>
      </c>
      <c r="L237" s="3"/>
      <c r="M237" s="3"/>
      <c r="T237" s="3">
        <f t="shared" si="50"/>
        <v>0.2</v>
      </c>
      <c r="U237" s="3">
        <f>U222 + $O$7 * T222 * T230</f>
        <v>0.19995613466368078</v>
      </c>
      <c r="V237" s="3">
        <f>T236*U238+T237*U239</f>
        <v>0.13997698704216471</v>
      </c>
      <c r="W237" s="3">
        <f>1/(1+EXP(-V237))</f>
        <v>0.53493722001319033</v>
      </c>
      <c r="X237" s="3">
        <f>W237</f>
        <v>0.53493722001319033</v>
      </c>
      <c r="Y237" s="3">
        <f>Y222 + $O$7 * X222 * X230</f>
        <v>0.20029292238426319</v>
      </c>
      <c r="Z237" s="3">
        <f>X236*Y238+X237*Y239</f>
        <v>0.36579597451245338</v>
      </c>
      <c r="AA237" s="3">
        <f>1/(1+EXP(-Z237))</f>
        <v>0.59044274842143396</v>
      </c>
      <c r="AB237" s="3">
        <f>AA237</f>
        <v>0.59044274842143396</v>
      </c>
      <c r="AC237" s="3">
        <f>AC222 +  $P$19 * AB222 * AB231</f>
        <v>0.20840889733712384</v>
      </c>
      <c r="AD237" s="3"/>
      <c r="AE237" s="3"/>
    </row>
    <row r="238" spans="1:31" x14ac:dyDescent="0.3">
      <c r="B238" s="3">
        <f>$B$6</f>
        <v>0.1</v>
      </c>
      <c r="C238" s="3">
        <f>C223 + $O$7 * B221 * B231</f>
        <v>0.29994321937544627</v>
      </c>
      <c r="D238" s="3"/>
      <c r="E238" s="3"/>
      <c r="F238" s="3"/>
      <c r="G238" s="3">
        <f>G223 + $O$7 * F221 * F231</f>
        <v>0.29751199954339042</v>
      </c>
      <c r="H238" s="3"/>
      <c r="I238" s="3"/>
      <c r="J238" s="3"/>
      <c r="K238" s="3"/>
      <c r="L238" s="3"/>
      <c r="M238" s="3"/>
      <c r="T238" s="3">
        <f t="shared" si="50"/>
        <v>0.2</v>
      </c>
      <c r="U238" s="3">
        <f>U223 + $O$7 * T221 * T231</f>
        <v>0.29994246760541177</v>
      </c>
      <c r="V238" s="3"/>
      <c r="W238" s="3"/>
      <c r="X238" s="3"/>
      <c r="Y238" s="3">
        <f>Y223 + $O$7 * X221 * X231</f>
        <v>0.29748178513314272</v>
      </c>
      <c r="Z238" s="3"/>
      <c r="AA238" s="3"/>
      <c r="AB238" s="3"/>
      <c r="AC238" s="3"/>
      <c r="AD238" s="3"/>
      <c r="AE238" s="3"/>
    </row>
    <row r="239" spans="1:31" x14ac:dyDescent="0.3">
      <c r="B239" s="3">
        <f>$B$7</f>
        <v>0.1</v>
      </c>
      <c r="C239" s="3">
        <f>C224 + $O$7 * B222* B231</f>
        <v>0.3999432193754463</v>
      </c>
      <c r="D239" s="3"/>
      <c r="E239" s="3"/>
      <c r="F239" s="3"/>
      <c r="G239" s="3">
        <f>G224 + $O$7 * F222* F231</f>
        <v>0.3974527812898791</v>
      </c>
      <c r="H239" s="3"/>
      <c r="I239" s="3"/>
      <c r="J239" s="3"/>
      <c r="K239" s="3"/>
      <c r="L239" s="3"/>
      <c r="M239" s="3"/>
      <c r="T239" s="3">
        <f t="shared" si="50"/>
        <v>0.2</v>
      </c>
      <c r="U239" s="3">
        <f>U224 + $O$7 * T222* T231</f>
        <v>0.3999424676054118</v>
      </c>
      <c r="V239" s="3"/>
      <c r="W239" s="3"/>
      <c r="X239" s="3"/>
      <c r="Y239" s="3">
        <f>Y224 + $O$7 * X222* X231</f>
        <v>0.39742139664615422</v>
      </c>
      <c r="Z239" s="3"/>
      <c r="AA239" s="3"/>
      <c r="AB239" s="3"/>
      <c r="AC239" s="3"/>
      <c r="AD239" s="3"/>
      <c r="AE239" s="3"/>
    </row>
    <row r="240" spans="1:31" x14ac:dyDescent="0.3">
      <c r="B240" s="3">
        <f>$B$8</f>
        <v>0.1</v>
      </c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T240" s="3">
        <f t="shared" si="50"/>
        <v>0.2</v>
      </c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 spans="2:31" x14ac:dyDescent="0.3">
      <c r="B241" s="3">
        <f>$B$9</f>
        <v>0.1</v>
      </c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T241" s="3">
        <f t="shared" si="50"/>
        <v>0.2</v>
      </c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 spans="2:31" x14ac:dyDescent="0.3">
      <c r="B242" s="3">
        <f>$B$10</f>
        <v>0.1</v>
      </c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T242" s="3">
        <f t="shared" si="50"/>
        <v>0.2</v>
      </c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 spans="2:31" x14ac:dyDescent="0.3">
      <c r="B243" s="3">
        <f>$B$11</f>
        <v>0.1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T243" s="3">
        <f>$B$11</f>
        <v>0.1</v>
      </c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9" spans="2:31" x14ac:dyDescent="0.3">
      <c r="B249" s="8" t="s">
        <v>4</v>
      </c>
      <c r="C249" s="8"/>
      <c r="D249" s="8"/>
      <c r="E249" s="8"/>
      <c r="F249" s="8" t="s">
        <v>5</v>
      </c>
      <c r="G249" s="8"/>
      <c r="H249" s="8"/>
      <c r="I249" s="8"/>
      <c r="J249" s="8" t="s">
        <v>6</v>
      </c>
      <c r="K249" s="8"/>
      <c r="L249" s="8"/>
      <c r="M249" s="8"/>
      <c r="T249" s="9" t="s">
        <v>4</v>
      </c>
      <c r="U249" s="10"/>
      <c r="V249" s="10"/>
      <c r="W249" s="11"/>
      <c r="X249" s="9" t="s">
        <v>5</v>
      </c>
      <c r="Y249" s="10"/>
      <c r="Z249" s="10"/>
      <c r="AA249" s="11"/>
      <c r="AB249" s="9" t="s">
        <v>6</v>
      </c>
      <c r="AC249" s="10"/>
      <c r="AD249" s="10"/>
      <c r="AE249" s="11"/>
    </row>
    <row r="250" spans="2:31" x14ac:dyDescent="0.3"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T250" s="12"/>
      <c r="U250" s="13"/>
      <c r="V250" s="13"/>
      <c r="W250" s="14"/>
      <c r="X250" s="12"/>
      <c r="Y250" s="13"/>
      <c r="Z250" s="13"/>
      <c r="AA250" s="14"/>
      <c r="AB250" s="12"/>
      <c r="AC250" s="13"/>
      <c r="AD250" s="13"/>
      <c r="AE250" s="14"/>
    </row>
    <row r="251" spans="2:31" x14ac:dyDescent="0.3">
      <c r="B251" s="3" t="s">
        <v>0</v>
      </c>
      <c r="C251" s="3" t="s">
        <v>1</v>
      </c>
      <c r="D251" s="3" t="s">
        <v>2</v>
      </c>
      <c r="E251" s="3" t="s">
        <v>3</v>
      </c>
      <c r="F251" s="3" t="s">
        <v>0</v>
      </c>
      <c r="G251" s="3" t="s">
        <v>1</v>
      </c>
      <c r="H251" s="3" t="s">
        <v>2</v>
      </c>
      <c r="I251" s="3" t="s">
        <v>3</v>
      </c>
      <c r="J251" s="3" t="s">
        <v>0</v>
      </c>
      <c r="K251" s="3" t="s">
        <v>1</v>
      </c>
      <c r="L251" s="3" t="s">
        <v>2</v>
      </c>
      <c r="M251" s="3" t="s">
        <v>3</v>
      </c>
      <c r="T251" s="3" t="s">
        <v>0</v>
      </c>
      <c r="U251" s="3" t="s">
        <v>1</v>
      </c>
      <c r="V251" s="3" t="s">
        <v>2</v>
      </c>
      <c r="W251" s="3" t="s">
        <v>3</v>
      </c>
      <c r="X251" s="3" t="s">
        <v>0</v>
      </c>
      <c r="Y251" s="3" t="s">
        <v>1</v>
      </c>
      <c r="Z251" s="3" t="s">
        <v>2</v>
      </c>
      <c r="AA251" s="3" t="s">
        <v>3</v>
      </c>
      <c r="AB251" s="3" t="s">
        <v>0</v>
      </c>
      <c r="AC251" s="3" t="s">
        <v>1</v>
      </c>
      <c r="AD251" s="3" t="s">
        <v>2</v>
      </c>
      <c r="AE251" s="3" t="s">
        <v>3</v>
      </c>
    </row>
    <row r="252" spans="2:31" x14ac:dyDescent="0.3">
      <c r="B252" s="3">
        <f>$B$4</f>
        <v>0.1</v>
      </c>
      <c r="C252" s="3">
        <f>U236</f>
        <v>9.9956134663680779E-2</v>
      </c>
      <c r="D252" s="3">
        <f>B252*C252+B253*C253</f>
        <v>2.9991226932736155E-2</v>
      </c>
      <c r="E252" s="3">
        <f>1/(1+EXP(-D252))</f>
        <v>0.50749724477707114</v>
      </c>
      <c r="F252" s="3">
        <f>E252</f>
        <v>0.50749724477707114</v>
      </c>
      <c r="G252" s="3">
        <f>Y236</f>
        <v>0.10028766106420028</v>
      </c>
      <c r="H252" s="3">
        <f>F252*G252+F253*G253</f>
        <v>0.15454529298874317</v>
      </c>
      <c r="I252" s="3">
        <f>1/(1+EXP(-H252))</f>
        <v>0.53855960651493584</v>
      </c>
      <c r="J252" s="3">
        <f>I252</f>
        <v>0.53855960651493584</v>
      </c>
      <c r="K252" s="3">
        <f>AC236</f>
        <v>-0.14487468349182386</v>
      </c>
      <c r="L252" s="3">
        <f>J252*K252+J253*K253</f>
        <v>4.4567687993709276E-2</v>
      </c>
      <c r="M252" s="3">
        <f>1/(1+EXP(-L252))</f>
        <v>0.51114007811770568</v>
      </c>
      <c r="T252" s="3">
        <f>$O$19</f>
        <v>0.2</v>
      </c>
      <c r="U252" s="3">
        <f>C267</f>
        <v>9.9952966158839002E-2</v>
      </c>
      <c r="V252" s="3">
        <f>T252*U252+T253*U253</f>
        <v>5.9981186463535605E-2</v>
      </c>
      <c r="W252" s="3">
        <f>1/(1+EXP(-V252))</f>
        <v>0.51499080246447559</v>
      </c>
      <c r="X252" s="3">
        <f>W252</f>
        <v>0.51499080246447559</v>
      </c>
      <c r="Y252" s="3">
        <f>G267</f>
        <v>0.1004907312998054</v>
      </c>
      <c r="Z252" s="3">
        <f>X252*Y252+X253*Y253</f>
        <v>0.1590066390620351</v>
      </c>
      <c r="AA252" s="3">
        <f>1/(1+EXP(-Z252))</f>
        <v>0.53966811717773622</v>
      </c>
      <c r="AB252" s="3">
        <f>AA252</f>
        <v>0.53966811717773622</v>
      </c>
      <c r="AC252" s="3">
        <f>K267</f>
        <v>-0.1688169061874682</v>
      </c>
      <c r="AD252" s="3">
        <f>AB252*AC252+AB253*AC253</f>
        <v>3.19331910196025E-2</v>
      </c>
      <c r="AE252" s="3">
        <f>1/(1+EXP(-AD252))</f>
        <v>0.50798261942425926</v>
      </c>
    </row>
    <row r="253" spans="2:31" x14ac:dyDescent="0.3">
      <c r="B253" s="3">
        <f>$B$5</f>
        <v>0.1</v>
      </c>
      <c r="C253" s="3">
        <f>U237</f>
        <v>0.19995613466368078</v>
      </c>
      <c r="D253" s="3">
        <f>B252*C254+B253*C255</f>
        <v>6.9988493521082357E-2</v>
      </c>
      <c r="E253" s="3">
        <f>1/(1+EXP(-D253))</f>
        <v>0.5174899845670653</v>
      </c>
      <c r="F253" s="3">
        <f>E253</f>
        <v>0.5174899845670653</v>
      </c>
      <c r="G253" s="3">
        <f t="shared" ref="G253:G255" si="51">Y237</f>
        <v>0.20029292238426319</v>
      </c>
      <c r="H253" s="3">
        <f>F252*G254+F253*G255</f>
        <v>0.35663277874347449</v>
      </c>
      <c r="I253" s="3">
        <f>1/(1+EXP(-H253))</f>
        <v>0.58822508105657845</v>
      </c>
      <c r="J253" s="3">
        <f>I253</f>
        <v>0.58822508105657845</v>
      </c>
      <c r="K253" s="3">
        <f>AC237</f>
        <v>0.20840889733712384</v>
      </c>
      <c r="L253" s="3"/>
      <c r="M253" s="3"/>
      <c r="T253" s="3">
        <f t="shared" ref="T253:T259" si="52">$O$19</f>
        <v>0.2</v>
      </c>
      <c r="U253" s="3">
        <f t="shared" ref="U253:U255" si="53">C268</f>
        <v>0.19995296615883901</v>
      </c>
      <c r="V253" s="3">
        <f>T252*U254+T253*U255</f>
        <v>0.13997556056764798</v>
      </c>
      <c r="W253" s="3">
        <f>1/(1+EXP(-V253))</f>
        <v>0.53493686513571159</v>
      </c>
      <c r="X253" s="3">
        <f>W253</f>
        <v>0.53493686513571159</v>
      </c>
      <c r="Y253" s="3">
        <f t="shared" ref="Y253:Y255" si="54">G268</f>
        <v>0.20049999112044023</v>
      </c>
      <c r="Z253" s="3">
        <f>X252*Y254+X253*Y255</f>
        <v>0.36549380069544402</v>
      </c>
      <c r="AA253" s="3">
        <f>1/(1+EXP(-Z253))</f>
        <v>0.59036967471948332</v>
      </c>
      <c r="AB253" s="3">
        <f>AA253</f>
        <v>0.59036967471948332</v>
      </c>
      <c r="AC253" s="3">
        <f>K268</f>
        <v>0.20840889733712384</v>
      </c>
      <c r="AD253" s="3"/>
      <c r="AE253" s="3"/>
    </row>
    <row r="254" spans="2:31" x14ac:dyDescent="0.3">
      <c r="B254" s="3">
        <f>$B$6</f>
        <v>0.1</v>
      </c>
      <c r="C254" s="3">
        <f t="shared" ref="C254:C255" si="55">U238</f>
        <v>0.29994246760541177</v>
      </c>
      <c r="D254" s="3"/>
      <c r="E254" s="3"/>
      <c r="F254" s="3"/>
      <c r="G254" s="3">
        <f t="shared" si="51"/>
        <v>0.29748178513314272</v>
      </c>
      <c r="H254" s="3"/>
      <c r="I254" s="3"/>
      <c r="J254" s="3"/>
      <c r="K254" s="3"/>
      <c r="L254" s="3"/>
      <c r="M254" s="3"/>
      <c r="T254" s="3">
        <f t="shared" si="52"/>
        <v>0.2</v>
      </c>
      <c r="U254" s="3">
        <f t="shared" si="53"/>
        <v>0.29993890141911994</v>
      </c>
      <c r="V254" s="3"/>
      <c r="W254" s="3"/>
      <c r="X254" s="3"/>
      <c r="Y254" s="3">
        <f t="shared" si="54"/>
        <v>0.29719706113667432</v>
      </c>
      <c r="Z254" s="3"/>
      <c r="AA254" s="3"/>
      <c r="AB254" s="3"/>
      <c r="AC254" s="3"/>
      <c r="AD254" s="3"/>
      <c r="AE254" s="3"/>
    </row>
    <row r="255" spans="2:31" x14ac:dyDescent="0.3">
      <c r="B255" s="3">
        <f>$B$7</f>
        <v>0.1</v>
      </c>
      <c r="C255" s="3">
        <f t="shared" si="55"/>
        <v>0.3999424676054118</v>
      </c>
      <c r="D255" s="3"/>
      <c r="E255" s="3"/>
      <c r="F255" s="3"/>
      <c r="G255" s="3">
        <f t="shared" si="51"/>
        <v>0.39742139664615422</v>
      </c>
      <c r="H255" s="3"/>
      <c r="I255" s="3"/>
      <c r="J255" s="3"/>
      <c r="K255" s="3"/>
      <c r="L255" s="3"/>
      <c r="M255" s="3"/>
      <c r="T255" s="3">
        <f t="shared" si="52"/>
        <v>0.2</v>
      </c>
      <c r="U255" s="3">
        <f t="shared" si="53"/>
        <v>0.39993890141911997</v>
      </c>
      <c r="V255" s="3"/>
      <c r="W255" s="3"/>
      <c r="X255" s="3"/>
      <c r="Y255" s="3">
        <f t="shared" si="54"/>
        <v>0.39713106636740952</v>
      </c>
      <c r="Z255" s="3"/>
      <c r="AA255" s="3"/>
      <c r="AB255" s="3"/>
      <c r="AC255" s="3"/>
      <c r="AD255" s="3"/>
      <c r="AE255" s="3"/>
    </row>
    <row r="256" spans="2:31" x14ac:dyDescent="0.3">
      <c r="B256" s="3">
        <f>$B$8</f>
        <v>0.1</v>
      </c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T256" s="3">
        <f t="shared" si="52"/>
        <v>0.2</v>
      </c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 spans="1:31" x14ac:dyDescent="0.3">
      <c r="B257" s="3">
        <f>$B$9</f>
        <v>0.1</v>
      </c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T257" s="3">
        <f t="shared" si="52"/>
        <v>0.2</v>
      </c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 spans="1:31" x14ac:dyDescent="0.3">
      <c r="B258" s="3">
        <f>$B$10</f>
        <v>0.1</v>
      </c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T258" s="3">
        <f t="shared" si="52"/>
        <v>0.2</v>
      </c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 spans="1:31" x14ac:dyDescent="0.3">
      <c r="B259" s="3">
        <f>$B$11</f>
        <v>0.1</v>
      </c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T259" s="3">
        <f t="shared" si="52"/>
        <v>0.2</v>
      </c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1" spans="1:31" x14ac:dyDescent="0.3">
      <c r="A261" s="4" t="s">
        <v>7</v>
      </c>
      <c r="B261" s="5">
        <f>E252 * (1 - E252) * (G252 * F261 + G254 * F262)</f>
        <v>-3.168504841780313E-4</v>
      </c>
      <c r="C261" s="6"/>
      <c r="D261" s="6"/>
      <c r="E261" s="7"/>
      <c r="F261" s="5">
        <f>I252 * (1 - I252) * K252 *J261</f>
        <v>4.0014056764843186E-3</v>
      </c>
      <c r="G261" s="6"/>
      <c r="H261" s="6"/>
      <c r="I261" s="7"/>
      <c r="J261" s="5">
        <f>$P$18 - M252</f>
        <v>-0.11114007811770565</v>
      </c>
      <c r="K261" s="6"/>
      <c r="L261" s="6"/>
      <c r="M261" s="7"/>
      <c r="S261" s="4" t="s">
        <v>7</v>
      </c>
      <c r="T261" s="5">
        <f>W252 * (1 - W252) * (Y252 * X261 + Y254 * X262)</f>
        <v>-2.1462631628234056E-5</v>
      </c>
      <c r="U261" s="6"/>
      <c r="V261" s="6"/>
      <c r="W261" s="7"/>
      <c r="X261" s="5">
        <f>AA252 * (1 - AA252) * AC252 *AB261</f>
        <v>3.3477974805543899E-4</v>
      </c>
      <c r="Y261" s="6"/>
      <c r="Z261" s="6"/>
      <c r="AA261" s="7"/>
      <c r="AB261" s="5">
        <f>$P$19 - AE252</f>
        <v>-7.982619424259263E-3</v>
      </c>
      <c r="AC261" s="6"/>
      <c r="AD261" s="6"/>
      <c r="AE261" s="7"/>
    </row>
    <row r="262" spans="1:31" x14ac:dyDescent="0.3">
      <c r="B262" s="5">
        <f>E253 * (1 - E253) * (G253 * F261 + G255 * F262)</f>
        <v>-3.566186291842081E-4</v>
      </c>
      <c r="C262" s="6"/>
      <c r="D262" s="6"/>
      <c r="E262" s="7"/>
      <c r="F262" s="5">
        <f>J253 * (1 - J253) * K253 * J261</f>
        <v>-5.6103555122439695E-3</v>
      </c>
      <c r="G262" s="6"/>
      <c r="H262" s="6"/>
      <c r="I262" s="7"/>
      <c r="T262" s="5">
        <f>W253 * (1 - W253) * (Y253 * X261 + Y255 * X262)</f>
        <v>-2.3050088223076547E-5</v>
      </c>
      <c r="U262" s="6"/>
      <c r="V262" s="6"/>
      <c r="W262" s="7"/>
      <c r="X262" s="5">
        <f>AB253 * (1 - AB253) * AC253 * AB261</f>
        <v>-4.0232574286682424E-4</v>
      </c>
      <c r="Y262" s="6"/>
      <c r="Z262" s="6"/>
      <c r="AA262" s="7"/>
    </row>
    <row r="264" spans="1:31" x14ac:dyDescent="0.3">
      <c r="B264" s="8" t="s">
        <v>4</v>
      </c>
      <c r="C264" s="8"/>
      <c r="D264" s="8"/>
      <c r="E264" s="8"/>
      <c r="F264" s="8" t="s">
        <v>5</v>
      </c>
      <c r="G264" s="8"/>
      <c r="H264" s="8"/>
      <c r="I264" s="8"/>
      <c r="J264" s="8" t="s">
        <v>6</v>
      </c>
      <c r="K264" s="8"/>
      <c r="L264" s="8"/>
      <c r="M264" s="8"/>
      <c r="T264" s="9" t="s">
        <v>4</v>
      </c>
      <c r="U264" s="10"/>
      <c r="V264" s="10"/>
      <c r="W264" s="11"/>
      <c r="X264" s="9" t="s">
        <v>5</v>
      </c>
      <c r="Y264" s="10"/>
      <c r="Z264" s="10"/>
      <c r="AA264" s="11"/>
      <c r="AB264" s="9" t="s">
        <v>6</v>
      </c>
      <c r="AC264" s="10"/>
      <c r="AD264" s="10"/>
      <c r="AE264" s="11"/>
    </row>
    <row r="265" spans="1:31" x14ac:dyDescent="0.3"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T265" s="12"/>
      <c r="U265" s="13"/>
      <c r="V265" s="13"/>
      <c r="W265" s="14"/>
      <c r="X265" s="12"/>
      <c r="Y265" s="13"/>
      <c r="Z265" s="13"/>
      <c r="AA265" s="14"/>
      <c r="AB265" s="12"/>
      <c r="AC265" s="13"/>
      <c r="AD265" s="13"/>
      <c r="AE265" s="14"/>
    </row>
    <row r="266" spans="1:31" x14ac:dyDescent="0.3">
      <c r="B266" s="3" t="s">
        <v>0</v>
      </c>
      <c r="C266" s="3" t="s">
        <v>1</v>
      </c>
      <c r="D266" s="3" t="s">
        <v>2</v>
      </c>
      <c r="E266" s="3" t="s">
        <v>3</v>
      </c>
      <c r="F266" s="3" t="s">
        <v>0</v>
      </c>
      <c r="G266" s="3" t="s">
        <v>1</v>
      </c>
      <c r="H266" s="3" t="s">
        <v>2</v>
      </c>
      <c r="I266" s="3" t="s">
        <v>3</v>
      </c>
      <c r="J266" s="3" t="s">
        <v>0</v>
      </c>
      <c r="K266" s="3" t="s">
        <v>1</v>
      </c>
      <c r="L266" s="3" t="s">
        <v>2</v>
      </c>
      <c r="M266" s="3" t="s">
        <v>3</v>
      </c>
      <c r="T266" s="3">
        <f>$O$19</f>
        <v>0.2</v>
      </c>
      <c r="U266" s="3" t="s">
        <v>1</v>
      </c>
      <c r="V266" s="3" t="s">
        <v>2</v>
      </c>
      <c r="W266" s="3" t="s">
        <v>3</v>
      </c>
      <c r="X266" s="3" t="s">
        <v>0</v>
      </c>
      <c r="Y266" s="3" t="s">
        <v>1</v>
      </c>
      <c r="Z266" s="3" t="s">
        <v>2</v>
      </c>
      <c r="AA266" s="3" t="s">
        <v>3</v>
      </c>
      <c r="AB266" s="3" t="s">
        <v>0</v>
      </c>
      <c r="AC266" s="3" t="s">
        <v>1</v>
      </c>
      <c r="AD266" s="3" t="s">
        <v>2</v>
      </c>
      <c r="AE266" s="3" t="s">
        <v>3</v>
      </c>
    </row>
    <row r="267" spans="1:31" x14ac:dyDescent="0.3">
      <c r="B267" s="3">
        <f>$B$4</f>
        <v>0.1</v>
      </c>
      <c r="C267" s="3">
        <f>C252 + $O$7 * B252 * B261</f>
        <v>9.9952966158839002E-2</v>
      </c>
      <c r="D267" s="3">
        <f>B267*C267+B268*C268</f>
        <v>2.9990593231767802E-2</v>
      </c>
      <c r="E267" s="3">
        <f>1/(1+EXP(-D267))</f>
        <v>0.50749708638744784</v>
      </c>
      <c r="F267" s="3">
        <f>E267</f>
        <v>0.50749708638744784</v>
      </c>
      <c r="G267" s="3">
        <f>G252 + $O$7 * F252 * F261</f>
        <v>0.1004907312998054</v>
      </c>
      <c r="H267" s="3">
        <f>F267*G267+F268*G268</f>
        <v>0.15475545494693693</v>
      </c>
      <c r="I267" s="3">
        <f>1/(1+EXP(-H267))</f>
        <v>0.53861183410316216</v>
      </c>
      <c r="J267" s="3">
        <f>I267</f>
        <v>0.53861183410316216</v>
      </c>
      <c r="K267" s="3">
        <f>K252 + $P$18 * J252 * J261</f>
        <v>-0.1688169061874682</v>
      </c>
      <c r="L267" s="3">
        <f>J267*K267+J268*K268</f>
        <v>3.1649672256834321E-2</v>
      </c>
      <c r="M267" s="3">
        <f>1/(1+EXP(-L267))</f>
        <v>0.50791175764010887</v>
      </c>
      <c r="T267" s="3">
        <f t="shared" ref="T267:T273" si="56">$O$19</f>
        <v>0.2</v>
      </c>
      <c r="U267" s="3">
        <f>U252 + $O$7 * T252 * T261</f>
        <v>9.9952536906206438E-2</v>
      </c>
      <c r="V267" s="3">
        <f>T267*U267+T268*U268</f>
        <v>5.9981014762482576E-2</v>
      </c>
      <c r="W267" s="3">
        <f>1/(1+EXP(-V267))</f>
        <v>0.51499075957779761</v>
      </c>
      <c r="X267" s="3">
        <f>W267</f>
        <v>0.51499075957779761</v>
      </c>
      <c r="Y267" s="3">
        <f>Y252 + $O$7 * X252 * X261</f>
        <v>0.10050797214891539</v>
      </c>
      <c r="Z267" s="3">
        <f>X267*Y267+X268*Y268</f>
        <v>0.15902508440341251</v>
      </c>
      <c r="AA267" s="3">
        <f>1/(1+EXP(-Z267))</f>
        <v>0.53967269948488505</v>
      </c>
      <c r="AB267" s="3">
        <f>AA267</f>
        <v>0.53967269948488505</v>
      </c>
      <c r="AC267" s="3">
        <f>AC252 +  $P$19 * AB252 * AB261</f>
        <v>-0.17097088878488639</v>
      </c>
      <c r="AD267" s="3">
        <f>AB267*AC267+AB268*AC268</f>
        <v>3.0768852247174142E-2</v>
      </c>
      <c r="AE267" s="3">
        <f>1/(1+EXP(-AD267))</f>
        <v>0.50769160625345799</v>
      </c>
    </row>
    <row r="268" spans="1:31" x14ac:dyDescent="0.3">
      <c r="B268" s="3">
        <f>$B$5</f>
        <v>0.1</v>
      </c>
      <c r="C268" s="3">
        <f>C253 + $O$7 * B253 * B261</f>
        <v>0.19995296615883901</v>
      </c>
      <c r="D268" s="3">
        <f>B267*C269+B268*C270</f>
        <v>6.9987780283823992E-2</v>
      </c>
      <c r="E268" s="3">
        <f>1/(1+EXP(-D268))</f>
        <v>0.51748980647592746</v>
      </c>
      <c r="F268" s="3">
        <f>E268</f>
        <v>0.51748980647592746</v>
      </c>
      <c r="G268" s="3">
        <f>G253 + $O$7 * F253 * F261</f>
        <v>0.20049999112044023</v>
      </c>
      <c r="H268" s="3">
        <f>F267*G269+F268*G270</f>
        <v>0.35633792128982389</v>
      </c>
      <c r="I268" s="3">
        <f>1/(1+EXP(-H268))</f>
        <v>0.58815365990736668</v>
      </c>
      <c r="J268" s="3">
        <f>I268</f>
        <v>0.58815365990736668</v>
      </c>
      <c r="K268" s="3">
        <f>K253 + $P$18 * J253 * J262</f>
        <v>0.20840889733712384</v>
      </c>
      <c r="L268" s="3"/>
      <c r="M268" s="3"/>
      <c r="T268" s="3">
        <f t="shared" si="56"/>
        <v>0.2</v>
      </c>
      <c r="U268" s="3">
        <f>U253 + $O$7 * T253 * T261</f>
        <v>0.19995253690620643</v>
      </c>
      <c r="V268" s="3">
        <f>T267*U269+T268*U270</f>
        <v>0.13997537616694219</v>
      </c>
      <c r="W268" s="3">
        <f>1/(1+EXP(-V268))</f>
        <v>0.53493681926061143</v>
      </c>
      <c r="X268" s="3">
        <f>W268</f>
        <v>0.53493681926061143</v>
      </c>
      <c r="Y268" s="3">
        <f>Y253 + $O$7 * X253 * X261</f>
        <v>0.20051789972333381</v>
      </c>
      <c r="Z268" s="3">
        <f>X267*Y269+X268*Y270</f>
        <v>0.36547158657886897</v>
      </c>
      <c r="AA268" s="3">
        <f>1/(1+EXP(-Z268))</f>
        <v>0.59036430259509487</v>
      </c>
      <c r="AB268" s="3">
        <f>AA268</f>
        <v>0.59036430259509487</v>
      </c>
      <c r="AC268" s="3">
        <f>AC253 +  $P$19 * AB253 * AB262</f>
        <v>0.20840889733712384</v>
      </c>
      <c r="AD268" s="3"/>
      <c r="AE268" s="3"/>
    </row>
    <row r="269" spans="1:31" x14ac:dyDescent="0.3">
      <c r="B269" s="3">
        <f>$B$6</f>
        <v>0.1</v>
      </c>
      <c r="C269" s="3">
        <f>C254 + $O$7 * B252 * B262</f>
        <v>0.29993890141911994</v>
      </c>
      <c r="D269" s="3"/>
      <c r="E269" s="3"/>
      <c r="F269" s="3"/>
      <c r="G269" s="3">
        <f>G254 + $O$7 * F252 * F262</f>
        <v>0.29719706113667432</v>
      </c>
      <c r="H269" s="3"/>
      <c r="I269" s="3"/>
      <c r="J269" s="3"/>
      <c r="K269" s="3"/>
      <c r="L269" s="3"/>
      <c r="M269" s="3"/>
      <c r="T269" s="3">
        <f t="shared" si="56"/>
        <v>0.2</v>
      </c>
      <c r="U269" s="3">
        <f>U254 + $O$7 * T252 * T262</f>
        <v>0.29993844041735546</v>
      </c>
      <c r="V269" s="3"/>
      <c r="W269" s="3"/>
      <c r="X269" s="3"/>
      <c r="Y269" s="3">
        <f>Y254 + $O$7 * X252 * X262</f>
        <v>0.29717634173095719</v>
      </c>
      <c r="Z269" s="3"/>
      <c r="AA269" s="3"/>
      <c r="AB269" s="3"/>
      <c r="AC269" s="3"/>
      <c r="AD269" s="3"/>
      <c r="AE269" s="3"/>
    </row>
    <row r="270" spans="1:31" x14ac:dyDescent="0.3">
      <c r="B270" s="3">
        <f>$B$7</f>
        <v>0.1</v>
      </c>
      <c r="C270" s="3">
        <f>C255 + $O$7 * B253* B262</f>
        <v>0.39993890141911997</v>
      </c>
      <c r="D270" s="3"/>
      <c r="E270" s="3"/>
      <c r="F270" s="3"/>
      <c r="G270" s="3">
        <f>G255 + $O$7 * F253* F262</f>
        <v>0.39713106636740952</v>
      </c>
      <c r="H270" s="3"/>
      <c r="I270" s="3"/>
      <c r="J270" s="3"/>
      <c r="K270" s="3"/>
      <c r="L270" s="3"/>
      <c r="M270" s="3"/>
      <c r="T270" s="3">
        <f t="shared" si="56"/>
        <v>0.2</v>
      </c>
      <c r="U270" s="3">
        <f>U255 + $O$7 * T253* T262</f>
        <v>0.39993844041735549</v>
      </c>
      <c r="V270" s="3"/>
      <c r="W270" s="3"/>
      <c r="X270" s="3"/>
      <c r="Y270" s="3">
        <f>Y255 + $O$7 * X253* X262</f>
        <v>0.39710954448024427</v>
      </c>
      <c r="Z270" s="3"/>
      <c r="AA270" s="3"/>
      <c r="AB270" s="3"/>
      <c r="AC270" s="3"/>
      <c r="AD270" s="3"/>
      <c r="AE270" s="3"/>
    </row>
    <row r="271" spans="1:31" x14ac:dyDescent="0.3">
      <c r="B271" s="3">
        <f>$B$8</f>
        <v>0.1</v>
      </c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T271" s="3">
        <f t="shared" si="56"/>
        <v>0.2</v>
      </c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 spans="1:31" x14ac:dyDescent="0.3">
      <c r="B272" s="3">
        <f>$B$9</f>
        <v>0.1</v>
      </c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T272" s="3">
        <f t="shared" si="56"/>
        <v>0.2</v>
      </c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 spans="2:31" x14ac:dyDescent="0.3">
      <c r="B273" s="3">
        <f>$B$10</f>
        <v>0.1</v>
      </c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T273" s="3">
        <f t="shared" si="56"/>
        <v>0.2</v>
      </c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 spans="2:31" x14ac:dyDescent="0.3">
      <c r="B274" s="3">
        <f>$B$11</f>
        <v>0.1</v>
      </c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T274" s="3">
        <f>$B$11</f>
        <v>0.1</v>
      </c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80" spans="2:31" x14ac:dyDescent="0.3">
      <c r="B280" s="8" t="s">
        <v>4</v>
      </c>
      <c r="C280" s="8"/>
      <c r="D280" s="8"/>
      <c r="E280" s="8"/>
      <c r="F280" s="8" t="s">
        <v>5</v>
      </c>
      <c r="G280" s="8"/>
      <c r="H280" s="8"/>
      <c r="I280" s="8"/>
      <c r="J280" s="8" t="s">
        <v>6</v>
      </c>
      <c r="K280" s="8"/>
      <c r="L280" s="8"/>
      <c r="M280" s="8"/>
      <c r="T280" s="9" t="s">
        <v>4</v>
      </c>
      <c r="U280" s="10"/>
      <c r="V280" s="10"/>
      <c r="W280" s="11"/>
      <c r="X280" s="9" t="s">
        <v>5</v>
      </c>
      <c r="Y280" s="10"/>
      <c r="Z280" s="10"/>
      <c r="AA280" s="11"/>
      <c r="AB280" s="9" t="s">
        <v>6</v>
      </c>
      <c r="AC280" s="10"/>
      <c r="AD280" s="10"/>
      <c r="AE280" s="11"/>
    </row>
    <row r="281" spans="2:31" x14ac:dyDescent="0.3"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T281" s="12"/>
      <c r="U281" s="13"/>
      <c r="V281" s="13"/>
      <c r="W281" s="14"/>
      <c r="X281" s="12"/>
      <c r="Y281" s="13"/>
      <c r="Z281" s="13"/>
      <c r="AA281" s="14"/>
      <c r="AB281" s="12"/>
      <c r="AC281" s="13"/>
      <c r="AD281" s="13"/>
      <c r="AE281" s="14"/>
    </row>
    <row r="282" spans="2:31" x14ac:dyDescent="0.3">
      <c r="B282" s="3" t="s">
        <v>0</v>
      </c>
      <c r="C282" s="3" t="s">
        <v>1</v>
      </c>
      <c r="D282" s="3" t="s">
        <v>2</v>
      </c>
      <c r="E282" s="3" t="s">
        <v>3</v>
      </c>
      <c r="F282" s="3" t="s">
        <v>0</v>
      </c>
      <c r="G282" s="3" t="s">
        <v>1</v>
      </c>
      <c r="H282" s="3" t="s">
        <v>2</v>
      </c>
      <c r="I282" s="3" t="s">
        <v>3</v>
      </c>
      <c r="J282" s="3" t="s">
        <v>0</v>
      </c>
      <c r="K282" s="3" t="s">
        <v>1</v>
      </c>
      <c r="L282" s="3" t="s">
        <v>2</v>
      </c>
      <c r="M282" s="3" t="s">
        <v>3</v>
      </c>
      <c r="T282" s="3" t="s">
        <v>0</v>
      </c>
      <c r="U282" s="3" t="s">
        <v>1</v>
      </c>
      <c r="V282" s="3" t="s">
        <v>2</v>
      </c>
      <c r="W282" s="3" t="s">
        <v>3</v>
      </c>
      <c r="X282" s="3" t="s">
        <v>0</v>
      </c>
      <c r="Y282" s="3" t="s">
        <v>1</v>
      </c>
      <c r="Z282" s="3" t="s">
        <v>2</v>
      </c>
      <c r="AA282" s="3" t="s">
        <v>3</v>
      </c>
      <c r="AB282" s="3" t="s">
        <v>0</v>
      </c>
      <c r="AC282" s="3" t="s">
        <v>1</v>
      </c>
      <c r="AD282" s="3" t="s">
        <v>2</v>
      </c>
      <c r="AE282" s="3" t="s">
        <v>3</v>
      </c>
    </row>
    <row r="283" spans="2:31" x14ac:dyDescent="0.3">
      <c r="B283" s="3">
        <f>$B$4</f>
        <v>0.1</v>
      </c>
      <c r="C283" s="3">
        <f>U267</f>
        <v>9.9952536906206438E-2</v>
      </c>
      <c r="D283" s="3">
        <f>B283*C283+B284*C284</f>
        <v>2.9990507381241288E-2</v>
      </c>
      <c r="E283" s="3">
        <f>1/(1+EXP(-D283))</f>
        <v>0.50749706492964153</v>
      </c>
      <c r="F283" s="3">
        <f>E283</f>
        <v>0.50749706492964153</v>
      </c>
      <c r="G283" s="3">
        <f>Y267</f>
        <v>0.10050797214891539</v>
      </c>
      <c r="H283" s="3">
        <f>F283*G283+F284*G284</f>
        <v>0.1547734653740922</v>
      </c>
      <c r="I283" s="3">
        <f>1/(1+EXP(-H283))</f>
        <v>0.53861630985556563</v>
      </c>
      <c r="J283" s="3">
        <f>I283</f>
        <v>0.53861630985556563</v>
      </c>
      <c r="K283" s="3">
        <f>AC267</f>
        <v>-0.17097088878488639</v>
      </c>
      <c r="L283" s="3">
        <f>J283*K283+J284*K284</f>
        <v>3.0487652659909173E-2</v>
      </c>
      <c r="M283" s="3">
        <f>1/(1+EXP(-L283))</f>
        <v>0.50762132284108497</v>
      </c>
      <c r="T283" s="3">
        <f>$O$19</f>
        <v>0.2</v>
      </c>
      <c r="U283" s="3">
        <f>C298</f>
        <v>9.9949650088306669E-2</v>
      </c>
      <c r="V283" s="3">
        <f>T283*U283+T284*U284</f>
        <v>5.9979860035322664E-2</v>
      </c>
      <c r="W283" s="3">
        <f>1/(1+EXP(-V283))</f>
        <v>0.51499047115549612</v>
      </c>
      <c r="X283" s="3">
        <f>W283</f>
        <v>0.51499047115549612</v>
      </c>
      <c r="Y283" s="3">
        <f>G298</f>
        <v>0.10074002973405416</v>
      </c>
      <c r="Z283" s="3">
        <f>X283*Y283+X284*Y284</f>
        <v>0.15927108138641566</v>
      </c>
      <c r="AA283" s="3">
        <f>1/(1+EXP(-Z283))</f>
        <v>0.53973381095358841</v>
      </c>
      <c r="AB283" s="3">
        <f>AA283</f>
        <v>0.53973381095358841</v>
      </c>
      <c r="AC283" s="3">
        <f>K298</f>
        <v>-0.19415752869306227</v>
      </c>
      <c r="AD283" s="3">
        <f>AB283*AC283+AB284*AC284</f>
        <v>1.8229042729773187E-2</v>
      </c>
      <c r="AE283" s="3">
        <f>1/(1+EXP(-AD283))</f>
        <v>0.50455713448925299</v>
      </c>
    </row>
    <row r="284" spans="2:31" x14ac:dyDescent="0.3">
      <c r="B284" s="3">
        <f>$B$5</f>
        <v>0.1</v>
      </c>
      <c r="C284" s="3">
        <f>U268</f>
        <v>0.19995253690620643</v>
      </c>
      <c r="D284" s="3">
        <f>B283*C285+B284*C286</f>
        <v>6.9987688083471097E-2</v>
      </c>
      <c r="E284" s="3">
        <f>1/(1+EXP(-D284))</f>
        <v>0.51748978345404273</v>
      </c>
      <c r="F284" s="3">
        <f>E284</f>
        <v>0.51748978345404273</v>
      </c>
      <c r="G284" s="3">
        <f t="shared" ref="G284:G286" si="57">Y268</f>
        <v>0.20051789972333381</v>
      </c>
      <c r="H284" s="3">
        <f>F283*G285+F284*G286</f>
        <v>0.35631625337560408</v>
      </c>
      <c r="I284" s="3">
        <f>1/(1+EXP(-H284))</f>
        <v>0.5881484113016161</v>
      </c>
      <c r="J284" s="3">
        <f>I284</f>
        <v>0.5881484113016161</v>
      </c>
      <c r="K284" s="3">
        <f>AC268</f>
        <v>0.20840889733712384</v>
      </c>
      <c r="L284" s="3"/>
      <c r="M284" s="3"/>
      <c r="T284" s="3">
        <f t="shared" ref="T284:T290" si="58">$O$19</f>
        <v>0.2</v>
      </c>
      <c r="U284" s="3">
        <f t="shared" ref="U284:U286" si="59">C299</f>
        <v>0.19994965008830665</v>
      </c>
      <c r="V284" s="3">
        <f>T283*U285+T284*U286</f>
        <v>0.13997413706218798</v>
      </c>
      <c r="W284" s="3">
        <f>1/(1+EXP(-V284))</f>
        <v>0.5349365109968377</v>
      </c>
      <c r="X284" s="3">
        <f>W284</f>
        <v>0.5349365109968377</v>
      </c>
      <c r="Y284" s="3">
        <f t="shared" ref="Y284:Y286" si="60">G299</f>
        <v>0.20075452656865159</v>
      </c>
      <c r="Z284" s="3">
        <f>X283*Y285+X284*Y286</f>
        <v>0.36517898336063676</v>
      </c>
      <c r="AA284" s="3">
        <f>1/(1+EXP(-Z284))</f>
        <v>0.59029353923219674</v>
      </c>
      <c r="AB284" s="3">
        <f>AA284</f>
        <v>0.59029353923219674</v>
      </c>
      <c r="AC284" s="3">
        <f>K299</f>
        <v>0.20840889733712384</v>
      </c>
      <c r="AD284" s="3"/>
      <c r="AE284" s="3"/>
    </row>
    <row r="285" spans="2:31" x14ac:dyDescent="0.3">
      <c r="B285" s="3">
        <f>$B$6</f>
        <v>0.1</v>
      </c>
      <c r="C285" s="3">
        <f t="shared" ref="C285:C286" si="61">U269</f>
        <v>0.29993844041735546</v>
      </c>
      <c r="D285" s="3"/>
      <c r="E285" s="3"/>
      <c r="F285" s="3"/>
      <c r="G285" s="3">
        <f t="shared" si="57"/>
        <v>0.29717634173095719</v>
      </c>
      <c r="H285" s="3"/>
      <c r="I285" s="3"/>
      <c r="J285" s="3"/>
      <c r="K285" s="3"/>
      <c r="L285" s="3"/>
      <c r="M285" s="3"/>
      <c r="T285" s="3">
        <f t="shared" si="58"/>
        <v>0.2</v>
      </c>
      <c r="U285" s="3">
        <f t="shared" si="59"/>
        <v>0.29993534265546995</v>
      </c>
      <c r="V285" s="3"/>
      <c r="W285" s="3"/>
      <c r="X285" s="3"/>
      <c r="Y285" s="3">
        <f t="shared" si="60"/>
        <v>0.29690061695629721</v>
      </c>
      <c r="Z285" s="3"/>
      <c r="AA285" s="3"/>
      <c r="AB285" s="3"/>
      <c r="AC285" s="3"/>
      <c r="AD285" s="3"/>
      <c r="AE285" s="3"/>
    </row>
    <row r="286" spans="2:31" x14ac:dyDescent="0.3">
      <c r="B286" s="3">
        <f>$B$7</f>
        <v>0.1</v>
      </c>
      <c r="C286" s="3">
        <f t="shared" si="61"/>
        <v>0.39993844041735549</v>
      </c>
      <c r="D286" s="3"/>
      <c r="E286" s="3"/>
      <c r="F286" s="3"/>
      <c r="G286" s="3">
        <f t="shared" si="57"/>
        <v>0.39710954448024427</v>
      </c>
      <c r="H286" s="3"/>
      <c r="I286" s="3"/>
      <c r="J286" s="3"/>
      <c r="K286" s="3"/>
      <c r="L286" s="3"/>
      <c r="M286" s="3"/>
      <c r="T286" s="3">
        <f t="shared" si="58"/>
        <v>0.2</v>
      </c>
      <c r="U286" s="3">
        <f t="shared" si="59"/>
        <v>0.39993534265546998</v>
      </c>
      <c r="V286" s="3"/>
      <c r="W286" s="3"/>
      <c r="X286" s="3"/>
      <c r="Y286" s="3">
        <f t="shared" si="60"/>
        <v>0.39682839062972591</v>
      </c>
      <c r="Z286" s="3"/>
      <c r="AA286" s="3"/>
      <c r="AB286" s="3"/>
      <c r="AC286" s="3"/>
      <c r="AD286" s="3"/>
      <c r="AE286" s="3"/>
    </row>
    <row r="287" spans="2:31" x14ac:dyDescent="0.3">
      <c r="B287" s="3">
        <f>$B$8</f>
        <v>0.1</v>
      </c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T287" s="3">
        <f t="shared" si="58"/>
        <v>0.2</v>
      </c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 spans="2:31" x14ac:dyDescent="0.3">
      <c r="B288" s="3">
        <f>$B$9</f>
        <v>0.1</v>
      </c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T288" s="3">
        <f t="shared" si="58"/>
        <v>0.2</v>
      </c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 spans="1:31" x14ac:dyDescent="0.3">
      <c r="B289" s="3">
        <f>$B$10</f>
        <v>0.1</v>
      </c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T289" s="3">
        <f t="shared" si="58"/>
        <v>0.2</v>
      </c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 spans="1:31" x14ac:dyDescent="0.3">
      <c r="B290" s="3">
        <f>$B$11</f>
        <v>0.1</v>
      </c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T290" s="3">
        <f t="shared" si="58"/>
        <v>0.2</v>
      </c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2" spans="1:31" x14ac:dyDescent="0.3">
      <c r="A292" s="4" t="s">
        <v>7</v>
      </c>
      <c r="B292" s="5">
        <f>E283 * (1 - E283) * (G283 * F292 + G285 * F293)</f>
        <v>-2.8868178997696551E-4</v>
      </c>
      <c r="C292" s="6"/>
      <c r="D292" s="6"/>
      <c r="E292" s="7"/>
      <c r="F292" s="5">
        <f>I283 * (1 - I283) * K283 *J292</f>
        <v>4.5725896990347365E-3</v>
      </c>
      <c r="G292" s="6"/>
      <c r="H292" s="6"/>
      <c r="I292" s="7"/>
      <c r="J292" s="5">
        <f>$P$18 - M283</f>
        <v>-0.10762132284108494</v>
      </c>
      <c r="K292" s="6"/>
      <c r="L292" s="6"/>
      <c r="M292" s="7"/>
      <c r="S292" s="4" t="s">
        <v>7</v>
      </c>
      <c r="T292" s="5">
        <f>W283 * (1 - W283) * (Y283 * X292 + Y285 * X293)</f>
        <v>-1.1502941006157532E-5</v>
      </c>
      <c r="U292" s="6"/>
      <c r="V292" s="6"/>
      <c r="W292" s="7"/>
      <c r="X292" s="5">
        <f>AA283 * (1 - AA283) * AC283 *AB292</f>
        <v>2.1980358870960523E-4</v>
      </c>
      <c r="Y292" s="6"/>
      <c r="Z292" s="6"/>
      <c r="AA292" s="7"/>
      <c r="AB292" s="5">
        <f>$P$19 - AE283</f>
        <v>-4.5571344892529897E-3</v>
      </c>
      <c r="AC292" s="6"/>
      <c r="AD292" s="6"/>
      <c r="AE292" s="7"/>
    </row>
    <row r="293" spans="1:31" x14ac:dyDescent="0.3">
      <c r="B293" s="5">
        <f>E284 * (1 - E284) * (G284 * F292 + G286 * F293)</f>
        <v>-3.0977618854843755E-4</v>
      </c>
      <c r="C293" s="6"/>
      <c r="D293" s="6"/>
      <c r="E293" s="7"/>
      <c r="F293" s="5">
        <f>J284 * (1 - J284) * K284 * J292</f>
        <v>-5.4330319072530874E-3</v>
      </c>
      <c r="G293" s="6"/>
      <c r="H293" s="6"/>
      <c r="I293" s="7"/>
      <c r="T293" s="5">
        <f>W284 * (1 - W284) * (Y284 * X292 + Y286 * X293)</f>
        <v>-1.1698203009255089E-5</v>
      </c>
      <c r="U293" s="6"/>
      <c r="V293" s="6"/>
      <c r="W293" s="7"/>
      <c r="X293" s="5">
        <f>AB284 * (1 - AB284) * AC284 * AB292</f>
        <v>-2.2969362605584323E-4</v>
      </c>
      <c r="Y293" s="6"/>
      <c r="Z293" s="6"/>
      <c r="AA293" s="7"/>
    </row>
    <row r="295" spans="1:31" x14ac:dyDescent="0.3">
      <c r="B295" s="8" t="s">
        <v>4</v>
      </c>
      <c r="C295" s="8"/>
      <c r="D295" s="8"/>
      <c r="E295" s="8"/>
      <c r="F295" s="8" t="s">
        <v>5</v>
      </c>
      <c r="G295" s="8"/>
      <c r="H295" s="8"/>
      <c r="I295" s="8"/>
      <c r="J295" s="8" t="s">
        <v>6</v>
      </c>
      <c r="K295" s="8"/>
      <c r="L295" s="8"/>
      <c r="M295" s="8"/>
      <c r="T295" s="9" t="s">
        <v>4</v>
      </c>
      <c r="U295" s="10"/>
      <c r="V295" s="10"/>
      <c r="W295" s="11"/>
      <c r="X295" s="9" t="s">
        <v>5</v>
      </c>
      <c r="Y295" s="10"/>
      <c r="Z295" s="10"/>
      <c r="AA295" s="11"/>
      <c r="AB295" s="9" t="s">
        <v>6</v>
      </c>
      <c r="AC295" s="10"/>
      <c r="AD295" s="10"/>
      <c r="AE295" s="11"/>
    </row>
    <row r="296" spans="1:31" x14ac:dyDescent="0.3"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T296" s="12"/>
      <c r="U296" s="13"/>
      <c r="V296" s="13"/>
      <c r="W296" s="14"/>
      <c r="X296" s="12"/>
      <c r="Y296" s="13"/>
      <c r="Z296" s="13"/>
      <c r="AA296" s="14"/>
      <c r="AB296" s="12"/>
      <c r="AC296" s="13"/>
      <c r="AD296" s="13"/>
      <c r="AE296" s="14"/>
    </row>
    <row r="297" spans="1:31" x14ac:dyDescent="0.3">
      <c r="B297" s="3" t="s">
        <v>0</v>
      </c>
      <c r="C297" s="3" t="s">
        <v>1</v>
      </c>
      <c r="D297" s="3" t="s">
        <v>2</v>
      </c>
      <c r="E297" s="3" t="s">
        <v>3</v>
      </c>
      <c r="F297" s="3" t="s">
        <v>0</v>
      </c>
      <c r="G297" s="3" t="s">
        <v>1</v>
      </c>
      <c r="H297" s="3" t="s">
        <v>2</v>
      </c>
      <c r="I297" s="3" t="s">
        <v>3</v>
      </c>
      <c r="J297" s="3" t="s">
        <v>0</v>
      </c>
      <c r="K297" s="3" t="s">
        <v>1</v>
      </c>
      <c r="L297" s="3" t="s">
        <v>2</v>
      </c>
      <c r="M297" s="3" t="s">
        <v>3</v>
      </c>
      <c r="T297" s="3">
        <f>$O$19</f>
        <v>0.2</v>
      </c>
      <c r="U297" s="3" t="s">
        <v>1</v>
      </c>
      <c r="V297" s="3" t="s">
        <v>2</v>
      </c>
      <c r="W297" s="3" t="s">
        <v>3</v>
      </c>
      <c r="X297" s="3" t="s">
        <v>0</v>
      </c>
      <c r="Y297" s="3" t="s">
        <v>1</v>
      </c>
      <c r="Z297" s="3" t="s">
        <v>2</v>
      </c>
      <c r="AA297" s="3" t="s">
        <v>3</v>
      </c>
      <c r="AB297" s="3" t="s">
        <v>0</v>
      </c>
      <c r="AC297" s="3" t="s">
        <v>1</v>
      </c>
      <c r="AD297" s="3" t="s">
        <v>2</v>
      </c>
      <c r="AE297" s="3" t="s">
        <v>3</v>
      </c>
    </row>
    <row r="298" spans="1:31" x14ac:dyDescent="0.3">
      <c r="B298" s="3">
        <f>$B$4</f>
        <v>0.1</v>
      </c>
      <c r="C298" s="3">
        <f>C283 + $O$7 * B283 * B292</f>
        <v>9.9949650088306669E-2</v>
      </c>
      <c r="D298" s="3">
        <f>B298*C298+B299*C299</f>
        <v>2.9989930017661332E-2</v>
      </c>
      <c r="E298" s="3">
        <f>1/(1+EXP(-D298))</f>
        <v>0.50749692062119722</v>
      </c>
      <c r="F298" s="3">
        <f>E298</f>
        <v>0.50749692062119722</v>
      </c>
      <c r="G298" s="3">
        <f>G283 + $O$7 * F283 * F292</f>
        <v>0.10074002973405416</v>
      </c>
      <c r="H298" s="3">
        <f>F298*G298+F299*G299</f>
        <v>0.15501364029831063</v>
      </c>
      <c r="I298" s="3">
        <f>1/(1+EXP(-H298))</f>
        <v>0.5386759948792712</v>
      </c>
      <c r="J298" s="3">
        <f>I298</f>
        <v>0.5386759948792712</v>
      </c>
      <c r="K298" s="3">
        <f>K283 + $P$18 * J283 * J292</f>
        <v>-0.19415752869306227</v>
      </c>
      <c r="L298" s="3">
        <f>J298*K298+J299*K299</f>
        <v>1.797294730621711E-2</v>
      </c>
      <c r="M298" s="3">
        <f>1/(1+EXP(-L298))</f>
        <v>0.50449311587745538</v>
      </c>
      <c r="T298" s="3">
        <f t="shared" ref="T298:T304" si="62">$O$19</f>
        <v>0.2</v>
      </c>
      <c r="U298" s="3">
        <f>U283 + $O$7 * T283 * T292</f>
        <v>9.9949420029486549E-2</v>
      </c>
      <c r="V298" s="3">
        <f>T298*U298+T299*U299</f>
        <v>5.9979768011794617E-2</v>
      </c>
      <c r="W298" s="3">
        <f>1/(1+EXP(-V298))</f>
        <v>0.51499044817029316</v>
      </c>
      <c r="X298" s="3">
        <f>W298</f>
        <v>0.51499044817029316</v>
      </c>
      <c r="Y298" s="3">
        <f>Y283 + $O$7 * X283 * X292</f>
        <v>0.10075134940942529</v>
      </c>
      <c r="Z298" s="3">
        <f>X298*Y298+X299*Y299</f>
        <v>0.15928319375641115</v>
      </c>
      <c r="AA298" s="3">
        <f>1/(1+EXP(-Z298))</f>
        <v>0.53973681992192335</v>
      </c>
      <c r="AB298" s="3">
        <f>AA298</f>
        <v>0.53973681992192335</v>
      </c>
      <c r="AC298" s="3">
        <f>AC283 +  $P$19 * AB283 * AB292</f>
        <v>-0.19538734847551856</v>
      </c>
      <c r="AD298" s="3">
        <f>AB298*AC298+AB299*AC299</f>
        <v>1.7564040348739346E-2</v>
      </c>
      <c r="AE298" s="3">
        <f>1/(1+EXP(-AD298))</f>
        <v>0.50439089720675789</v>
      </c>
    </row>
    <row r="299" spans="1:31" x14ac:dyDescent="0.3">
      <c r="B299" s="3">
        <f>$B$5</f>
        <v>0.1</v>
      </c>
      <c r="C299" s="3">
        <f>C284 + $O$7 * B284 * B292</f>
        <v>0.19994965008830665</v>
      </c>
      <c r="D299" s="3">
        <f>B298*C300+B299*C301</f>
        <v>6.9987068531093988E-2</v>
      </c>
      <c r="E299" s="3">
        <f>1/(1+EXP(-D299))</f>
        <v>0.51748962875546323</v>
      </c>
      <c r="F299" s="3">
        <f>E299</f>
        <v>0.51748962875546323</v>
      </c>
      <c r="G299" s="3">
        <f>G284 + $O$7 * F284 * F292</f>
        <v>0.20075452656865159</v>
      </c>
      <c r="H299" s="3">
        <f>F298*G300+F299*G301</f>
        <v>0.35603072538245928</v>
      </c>
      <c r="I299" s="3">
        <f>1/(1+EXP(-H299))</f>
        <v>0.58807924615616358</v>
      </c>
      <c r="J299" s="3">
        <f>I299</f>
        <v>0.58807924615616358</v>
      </c>
      <c r="K299" s="3">
        <f>K284 + $P$18 * J284 * J293</f>
        <v>0.20840889733712384</v>
      </c>
      <c r="L299" s="3"/>
      <c r="M299" s="3"/>
      <c r="T299" s="3">
        <f t="shared" si="62"/>
        <v>0.2</v>
      </c>
      <c r="U299" s="3">
        <f>U284 + $O$7 * T284 * T292</f>
        <v>0.19994942002948651</v>
      </c>
      <c r="V299" s="3">
        <f>T298*U300+T299*U301</f>
        <v>0.13997404347656392</v>
      </c>
      <c r="W299" s="3">
        <f>1/(1+EXP(-V299))</f>
        <v>0.53493648771465852</v>
      </c>
      <c r="X299" s="3">
        <f>W299</f>
        <v>0.53493648771465852</v>
      </c>
      <c r="Y299" s="3">
        <f>Y284 + $O$7 * X284 * X292</f>
        <v>0.20076628466513646</v>
      </c>
      <c r="Z299" s="3">
        <f>X298*Y300+X299*Y301</f>
        <v>0.36516630262856126</v>
      </c>
      <c r="AA299" s="3">
        <f>1/(1+EXP(-Z299))</f>
        <v>0.59029047243070143</v>
      </c>
      <c r="AB299" s="3">
        <f>AA299</f>
        <v>0.59029047243070143</v>
      </c>
      <c r="AC299" s="3">
        <f>AC284 +  $P$19 * AB284 * AB293</f>
        <v>0.20840889733712384</v>
      </c>
      <c r="AD299" s="3"/>
      <c r="AE299" s="3"/>
    </row>
    <row r="300" spans="1:31" x14ac:dyDescent="0.3">
      <c r="B300" s="3">
        <f>$B$6</f>
        <v>0.1</v>
      </c>
      <c r="C300" s="3">
        <f>C285 + $O$7 * B283 * B293</f>
        <v>0.29993534265546995</v>
      </c>
      <c r="D300" s="3"/>
      <c r="E300" s="3"/>
      <c r="F300" s="3"/>
      <c r="G300" s="3">
        <f>G285 + $O$7 * F283 * F293</f>
        <v>0.29690061695629721</v>
      </c>
      <c r="H300" s="3"/>
      <c r="I300" s="3"/>
      <c r="J300" s="3"/>
      <c r="K300" s="3"/>
      <c r="L300" s="3"/>
      <c r="M300" s="3"/>
      <c r="T300" s="3">
        <f t="shared" si="62"/>
        <v>0.2</v>
      </c>
      <c r="U300" s="3">
        <f>U285 + $O$7 * T283 * T293</f>
        <v>0.29993510869140977</v>
      </c>
      <c r="V300" s="3"/>
      <c r="W300" s="3"/>
      <c r="X300" s="3"/>
      <c r="Y300" s="3">
        <f>Y285 + $O$7 * X283 * X293</f>
        <v>0.29688878795342682</v>
      </c>
      <c r="Z300" s="3"/>
      <c r="AA300" s="3"/>
      <c r="AB300" s="3"/>
      <c r="AC300" s="3"/>
      <c r="AD300" s="3"/>
      <c r="AE300" s="3"/>
    </row>
    <row r="301" spans="1:31" x14ac:dyDescent="0.3">
      <c r="B301" s="3">
        <f>$B$7</f>
        <v>0.1</v>
      </c>
      <c r="C301" s="3">
        <f>C286 + $O$7 * B284* B293</f>
        <v>0.39993534265546998</v>
      </c>
      <c r="D301" s="3"/>
      <c r="E301" s="3"/>
      <c r="F301" s="3"/>
      <c r="G301" s="3">
        <f>G286 + $O$7 * F284* F293</f>
        <v>0.39682839062972591</v>
      </c>
      <c r="H301" s="3"/>
      <c r="I301" s="3"/>
      <c r="J301" s="3"/>
      <c r="K301" s="3"/>
      <c r="L301" s="3"/>
      <c r="M301" s="3"/>
      <c r="T301" s="3">
        <f t="shared" si="62"/>
        <v>0.2</v>
      </c>
      <c r="U301" s="3">
        <f>U286 + $O$7 * T284* T293</f>
        <v>0.3999351086914098</v>
      </c>
      <c r="V301" s="3"/>
      <c r="W301" s="3"/>
      <c r="X301" s="3"/>
      <c r="Y301" s="3">
        <f>Y286 + $O$7 * X284* X293</f>
        <v>0.39681610347903384</v>
      </c>
      <c r="Z301" s="3"/>
      <c r="AA301" s="3"/>
      <c r="AB301" s="3"/>
      <c r="AC301" s="3"/>
      <c r="AD301" s="3"/>
      <c r="AE301" s="3"/>
    </row>
    <row r="302" spans="1:31" x14ac:dyDescent="0.3">
      <c r="B302" s="3">
        <f>$B$8</f>
        <v>0.1</v>
      </c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T302" s="3">
        <f t="shared" si="62"/>
        <v>0.2</v>
      </c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 spans="1:31" x14ac:dyDescent="0.3">
      <c r="B303" s="3">
        <f>$B$9</f>
        <v>0.1</v>
      </c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T303" s="3">
        <f t="shared" si="62"/>
        <v>0.2</v>
      </c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 spans="1:31" x14ac:dyDescent="0.3">
      <c r="B304" s="3">
        <f>$B$10</f>
        <v>0.1</v>
      </c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T304" s="3">
        <f t="shared" si="62"/>
        <v>0.2</v>
      </c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 spans="2:31" x14ac:dyDescent="0.3">
      <c r="B305" s="3">
        <f>$B$11</f>
        <v>0.1</v>
      </c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T305" s="3">
        <f>$B$11</f>
        <v>0.1</v>
      </c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11" spans="2:31" x14ac:dyDescent="0.3">
      <c r="B311" s="8" t="s">
        <v>4</v>
      </c>
      <c r="C311" s="8"/>
      <c r="D311" s="8"/>
      <c r="E311" s="8"/>
      <c r="F311" s="8" t="s">
        <v>5</v>
      </c>
      <c r="G311" s="8"/>
      <c r="H311" s="8"/>
      <c r="I311" s="8"/>
      <c r="J311" s="8" t="s">
        <v>6</v>
      </c>
      <c r="K311" s="8"/>
      <c r="L311" s="8"/>
      <c r="M311" s="8"/>
      <c r="T311" s="9" t="s">
        <v>4</v>
      </c>
      <c r="U311" s="10"/>
      <c r="V311" s="10"/>
      <c r="W311" s="11"/>
      <c r="X311" s="9" t="s">
        <v>5</v>
      </c>
      <c r="Y311" s="10"/>
      <c r="Z311" s="10"/>
      <c r="AA311" s="11"/>
      <c r="AB311" s="9" t="s">
        <v>6</v>
      </c>
      <c r="AC311" s="10"/>
      <c r="AD311" s="10"/>
      <c r="AE311" s="11"/>
    </row>
    <row r="312" spans="2:31" x14ac:dyDescent="0.3"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T312" s="12"/>
      <c r="U312" s="13"/>
      <c r="V312" s="13"/>
      <c r="W312" s="14"/>
      <c r="X312" s="12"/>
      <c r="Y312" s="13"/>
      <c r="Z312" s="13"/>
      <c r="AA312" s="14"/>
      <c r="AB312" s="12"/>
      <c r="AC312" s="13"/>
      <c r="AD312" s="13"/>
      <c r="AE312" s="14"/>
    </row>
    <row r="313" spans="2:31" x14ac:dyDescent="0.3">
      <c r="B313" s="3" t="s">
        <v>0</v>
      </c>
      <c r="C313" s="3" t="s">
        <v>1</v>
      </c>
      <c r="D313" s="3" t="s">
        <v>2</v>
      </c>
      <c r="E313" s="3" t="s">
        <v>3</v>
      </c>
      <c r="F313" s="3" t="s">
        <v>0</v>
      </c>
      <c r="G313" s="3" t="s">
        <v>1</v>
      </c>
      <c r="H313" s="3" t="s">
        <v>2</v>
      </c>
      <c r="I313" s="3" t="s">
        <v>3</v>
      </c>
      <c r="J313" s="3" t="s">
        <v>0</v>
      </c>
      <c r="K313" s="3" t="s">
        <v>1</v>
      </c>
      <c r="L313" s="3" t="s">
        <v>2</v>
      </c>
      <c r="M313" s="3" t="s">
        <v>3</v>
      </c>
      <c r="T313" s="3" t="s">
        <v>0</v>
      </c>
      <c r="U313" s="3" t="s">
        <v>1</v>
      </c>
      <c r="V313" s="3" t="s">
        <v>2</v>
      </c>
      <c r="W313" s="3" t="s">
        <v>3</v>
      </c>
      <c r="X313" s="3" t="s">
        <v>0</v>
      </c>
      <c r="Y313" s="3" t="s">
        <v>1</v>
      </c>
      <c r="Z313" s="3" t="s">
        <v>2</v>
      </c>
      <c r="AA313" s="3" t="s">
        <v>3</v>
      </c>
      <c r="AB313" s="3" t="s">
        <v>0</v>
      </c>
      <c r="AC313" s="3" t="s">
        <v>1</v>
      </c>
      <c r="AD313" s="3" t="s">
        <v>2</v>
      </c>
      <c r="AE313" s="3" t="s">
        <v>3</v>
      </c>
    </row>
    <row r="314" spans="2:31" x14ac:dyDescent="0.3">
      <c r="B314" s="3">
        <f>$B$4</f>
        <v>0.1</v>
      </c>
      <c r="C314" s="3">
        <f>U298</f>
        <v>9.9949420029486549E-2</v>
      </c>
      <c r="D314" s="3">
        <f>B314*C314+B315*C315</f>
        <v>2.9989884005897308E-2</v>
      </c>
      <c r="E314" s="3">
        <f>1/(1+EXP(-D314))</f>
        <v>0.50749690912084222</v>
      </c>
      <c r="F314" s="3">
        <f>E314</f>
        <v>0.50749690912084222</v>
      </c>
      <c r="G314" s="3">
        <f>Y298</f>
        <v>0.10075134940942529</v>
      </c>
      <c r="H314" s="3">
        <f>F314*G314+F315*G315</f>
        <v>0.15502546618728133</v>
      </c>
      <c r="I314" s="3">
        <f>1/(1+EXP(-H314))</f>
        <v>0.5386789336606197</v>
      </c>
      <c r="J314" s="3">
        <f>I314</f>
        <v>0.5386789336606197</v>
      </c>
      <c r="K314" s="3">
        <f>AC298</f>
        <v>-0.19538734847551856</v>
      </c>
      <c r="L314" s="3">
        <f>J314*K314+J315*K315</f>
        <v>1.7309274220463383E-2</v>
      </c>
      <c r="M314" s="3">
        <f>1/(1+EXP(-L314))</f>
        <v>0.50432721051567553</v>
      </c>
      <c r="T314" s="3">
        <f>$O$19</f>
        <v>0.2</v>
      </c>
      <c r="U314" s="3">
        <f>C329</f>
        <v>9.9946787233913745E-2</v>
      </c>
      <c r="V314" s="3">
        <f>T314*U314+T315*U315</f>
        <v>5.9978714893565495E-2</v>
      </c>
      <c r="W314" s="3">
        <f>1/(1+EXP(-V314))</f>
        <v>0.51499018512738159</v>
      </c>
      <c r="X314" s="3">
        <f>W314</f>
        <v>0.51499018512738159</v>
      </c>
      <c r="Y314" s="3">
        <f>G329</f>
        <v>0.10100842492487133</v>
      </c>
      <c r="Z314" s="3">
        <f>X314*Y314+X315*Y315</f>
        <v>0.15955573187202374</v>
      </c>
      <c r="AA314" s="3">
        <f>1/(1+EXP(-Z314))</f>
        <v>0.53980452337545881</v>
      </c>
      <c r="AB314" s="3">
        <f>AA314</f>
        <v>0.53980452337545881</v>
      </c>
      <c r="AC314" s="3">
        <f>K329</f>
        <v>-0.21786689668046699</v>
      </c>
      <c r="AD314" s="3">
        <f>AB314*AC314+AB315*AC315</f>
        <v>5.4019532209010346E-3</v>
      </c>
      <c r="AE314" s="3">
        <f>1/(1+EXP(-AD314))</f>
        <v>0.50135048502117374</v>
      </c>
    </row>
    <row r="315" spans="2:31" x14ac:dyDescent="0.3">
      <c r="B315" s="3">
        <f>$B$5</f>
        <v>0.1</v>
      </c>
      <c r="C315" s="3">
        <f>U299</f>
        <v>0.19994942002948651</v>
      </c>
      <c r="D315" s="3">
        <f>B314*C316+B315*C317</f>
        <v>6.998702173828196E-2</v>
      </c>
      <c r="E315" s="3">
        <f>1/(1+EXP(-D315))</f>
        <v>0.51748961707157359</v>
      </c>
      <c r="F315" s="3">
        <f>E315</f>
        <v>0.51748961707157359</v>
      </c>
      <c r="G315" s="3">
        <f t="shared" ref="G315:G317" si="63">Y299</f>
        <v>0.20076628466513646</v>
      </c>
      <c r="H315" s="3">
        <f>F314*G316+F315*G317</f>
        <v>0.35601835567619639</v>
      </c>
      <c r="I315" s="3">
        <f>1/(1+EXP(-H315))</f>
        <v>0.58807624968994054</v>
      </c>
      <c r="J315" s="3">
        <f>I315</f>
        <v>0.58807624968994054</v>
      </c>
      <c r="K315" s="3">
        <f>AC299</f>
        <v>0.20840889733712384</v>
      </c>
      <c r="L315" s="3"/>
      <c r="M315" s="3"/>
      <c r="T315" s="3">
        <f t="shared" ref="T315:T321" si="64">$O$19</f>
        <v>0.2</v>
      </c>
      <c r="U315" s="3">
        <f t="shared" ref="U315:U317" si="65">C330</f>
        <v>0.19994678723391371</v>
      </c>
      <c r="V315" s="3">
        <f>T314*U316+T315*U317</f>
        <v>0.13997297174753276</v>
      </c>
      <c r="W315" s="3">
        <f>1/(1+EXP(-V315))</f>
        <v>0.53493622109049832</v>
      </c>
      <c r="X315" s="3">
        <f>W315</f>
        <v>0.53493622109049832</v>
      </c>
      <c r="Y315" s="3">
        <f t="shared" ref="Y315:Y317" si="66">G330</f>
        <v>0.20102842204500171</v>
      </c>
      <c r="Z315" s="3">
        <f>X314*Y316+X315*Y317</f>
        <v>0.36488265874064418</v>
      </c>
      <c r="AA315" s="3">
        <f>1/(1+EXP(-Z315))</f>
        <v>0.59022187207205934</v>
      </c>
      <c r="AB315" s="3">
        <f>AA315</f>
        <v>0.59022187207205934</v>
      </c>
      <c r="AC315" s="3">
        <f>K330</f>
        <v>0.20840889733712384</v>
      </c>
      <c r="AD315" s="3"/>
      <c r="AE315" s="3"/>
    </row>
    <row r="316" spans="2:31" x14ac:dyDescent="0.3">
      <c r="B316" s="3">
        <f>$B$6</f>
        <v>0.1</v>
      </c>
      <c r="C316" s="3">
        <f t="shared" ref="C316:C317" si="67">U300</f>
        <v>0.29993510869140977</v>
      </c>
      <c r="D316" s="3"/>
      <c r="E316" s="3"/>
      <c r="F316" s="3"/>
      <c r="G316" s="3">
        <f t="shared" si="63"/>
        <v>0.29688878795342682</v>
      </c>
      <c r="H316" s="3"/>
      <c r="I316" s="3"/>
      <c r="J316" s="3"/>
      <c r="K316" s="3"/>
      <c r="L316" s="3"/>
      <c r="M316" s="3"/>
      <c r="T316" s="3">
        <f t="shared" si="64"/>
        <v>0.2</v>
      </c>
      <c r="U316" s="3">
        <f t="shared" si="65"/>
        <v>0.29993242936883185</v>
      </c>
      <c r="V316" s="3"/>
      <c r="W316" s="3"/>
      <c r="X316" s="3"/>
      <c r="Y316" s="3">
        <f t="shared" si="66"/>
        <v>0.29662148871231075</v>
      </c>
      <c r="Z316" s="3"/>
      <c r="AA316" s="3"/>
      <c r="AB316" s="3"/>
      <c r="AC316" s="3"/>
      <c r="AD316" s="3"/>
      <c r="AE316" s="3"/>
    </row>
    <row r="317" spans="2:31" x14ac:dyDescent="0.3">
      <c r="B317" s="3">
        <f>$B$7</f>
        <v>0.1</v>
      </c>
      <c r="C317" s="3">
        <f t="shared" si="67"/>
        <v>0.3999351086914098</v>
      </c>
      <c r="D317" s="3"/>
      <c r="E317" s="3"/>
      <c r="F317" s="3"/>
      <c r="G317" s="3">
        <f t="shared" si="63"/>
        <v>0.39681610347903384</v>
      </c>
      <c r="H317" s="3"/>
      <c r="I317" s="3"/>
      <c r="J317" s="3"/>
      <c r="K317" s="3"/>
      <c r="L317" s="3"/>
      <c r="M317" s="3"/>
      <c r="T317" s="3">
        <f t="shared" si="64"/>
        <v>0.2</v>
      </c>
      <c r="U317" s="3">
        <f t="shared" si="65"/>
        <v>0.39993242936883189</v>
      </c>
      <c r="V317" s="3"/>
      <c r="W317" s="3"/>
      <c r="X317" s="3"/>
      <c r="Y317" s="3">
        <f t="shared" si="66"/>
        <v>0.39654354106645029</v>
      </c>
      <c r="Z317" s="3"/>
      <c r="AA317" s="3"/>
      <c r="AB317" s="3"/>
      <c r="AC317" s="3"/>
      <c r="AD317" s="3"/>
      <c r="AE317" s="3"/>
    </row>
    <row r="318" spans="2:31" x14ac:dyDescent="0.3">
      <c r="B318" s="3">
        <f>$B$8</f>
        <v>0.1</v>
      </c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T318" s="3">
        <f t="shared" si="64"/>
        <v>0.2</v>
      </c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 spans="2:31" x14ac:dyDescent="0.3">
      <c r="B319" s="3">
        <f>$B$9</f>
        <v>0.1</v>
      </c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T319" s="3">
        <f t="shared" si="64"/>
        <v>0.2</v>
      </c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 spans="2:31" x14ac:dyDescent="0.3">
      <c r="B320" s="3">
        <f>$B$10</f>
        <v>0.1</v>
      </c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T320" s="3">
        <f t="shared" si="64"/>
        <v>0.2</v>
      </c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 spans="1:31" x14ac:dyDescent="0.3">
      <c r="B321" s="3">
        <f>$B$11</f>
        <v>0.1</v>
      </c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T321" s="3">
        <f t="shared" si="64"/>
        <v>0.2</v>
      </c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3" spans="1:31" x14ac:dyDescent="0.3">
      <c r="A323" s="4" t="s">
        <v>7</v>
      </c>
      <c r="B323" s="5">
        <f>E314 * (1 - E314) * (G314 * F323 + G316 * F324)</f>
        <v>-2.6327955727992354E-4</v>
      </c>
      <c r="C323" s="6"/>
      <c r="D323" s="6"/>
      <c r="E323" s="7"/>
      <c r="F323" s="5">
        <f>I314 * (1 - I314) * K314 *J323</f>
        <v>5.0655582492390985E-3</v>
      </c>
      <c r="G323" s="6"/>
      <c r="H323" s="6"/>
      <c r="I323" s="7"/>
      <c r="J323" s="5">
        <f>$P$18 - M314</f>
        <v>-0.10432721051567551</v>
      </c>
      <c r="K323" s="6"/>
      <c r="L323" s="6"/>
      <c r="M323" s="7"/>
      <c r="S323" s="4" t="s">
        <v>7</v>
      </c>
      <c r="T323" s="5">
        <f>W314 * (1 - W314) * (Y314 * X323 + Y316 * X324)</f>
        <v>-3.1993601196061847E-6</v>
      </c>
      <c r="U323" s="6"/>
      <c r="V323" s="6"/>
      <c r="W323" s="7"/>
      <c r="X323" s="5">
        <f>AA314 * (1 - AA314) * AC314 *AB323</f>
        <v>7.3090323476643251E-5</v>
      </c>
      <c r="Y323" s="6"/>
      <c r="Z323" s="6"/>
      <c r="AA323" s="7"/>
      <c r="AB323" s="5">
        <f>$P$19 - AE314</f>
        <v>-1.3504850211737418E-3</v>
      </c>
      <c r="AC323" s="6"/>
      <c r="AD323" s="6"/>
      <c r="AE323" s="7"/>
    </row>
    <row r="324" spans="1:31" x14ac:dyDescent="0.3">
      <c r="B324" s="5">
        <f>E315 * (1 - E315) * (G315 * F323 + G317 * F324)</f>
        <v>-2.6793225778999776E-4</v>
      </c>
      <c r="C324" s="6"/>
      <c r="D324" s="6"/>
      <c r="E324" s="7"/>
      <c r="F324" s="5">
        <f>J315 * (1 - J315) * K315 * J323</f>
        <v>-5.26701219873703E-3</v>
      </c>
      <c r="G324" s="6"/>
      <c r="H324" s="6"/>
      <c r="I324" s="7"/>
      <c r="T324" s="5">
        <f>W315 * (1 - W315) * (Y315 * X323 + Y317 * X324)</f>
        <v>-3.0600814925918066E-6</v>
      </c>
      <c r="U324" s="6"/>
      <c r="V324" s="6"/>
      <c r="W324" s="7"/>
      <c r="X324" s="5">
        <f>AB315 * (1 - AB315) * AC315 * AB323</f>
        <v>-6.8072249231036913E-5</v>
      </c>
      <c r="Y324" s="6"/>
      <c r="Z324" s="6"/>
      <c r="AA324" s="7"/>
    </row>
    <row r="326" spans="1:31" x14ac:dyDescent="0.3">
      <c r="B326" s="8" t="s">
        <v>4</v>
      </c>
      <c r="C326" s="8"/>
      <c r="D326" s="8"/>
      <c r="E326" s="8"/>
      <c r="F326" s="8" t="s">
        <v>5</v>
      </c>
      <c r="G326" s="8"/>
      <c r="H326" s="8"/>
      <c r="I326" s="8"/>
      <c r="J326" s="8" t="s">
        <v>6</v>
      </c>
      <c r="K326" s="8"/>
      <c r="L326" s="8"/>
      <c r="M326" s="8"/>
      <c r="T326" s="9" t="s">
        <v>4</v>
      </c>
      <c r="U326" s="10"/>
      <c r="V326" s="10"/>
      <c r="W326" s="11"/>
      <c r="X326" s="9" t="s">
        <v>5</v>
      </c>
      <c r="Y326" s="10"/>
      <c r="Z326" s="10"/>
      <c r="AA326" s="11"/>
      <c r="AB326" s="9" t="s">
        <v>6</v>
      </c>
      <c r="AC326" s="10"/>
      <c r="AD326" s="10"/>
      <c r="AE326" s="11"/>
    </row>
    <row r="327" spans="1:31" x14ac:dyDescent="0.3"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T327" s="12"/>
      <c r="U327" s="13"/>
      <c r="V327" s="13"/>
      <c r="W327" s="14"/>
      <c r="X327" s="12"/>
      <c r="Y327" s="13"/>
      <c r="Z327" s="13"/>
      <c r="AA327" s="14"/>
      <c r="AB327" s="12"/>
      <c r="AC327" s="13"/>
      <c r="AD327" s="13"/>
      <c r="AE327" s="14"/>
    </row>
    <row r="328" spans="1:31" x14ac:dyDescent="0.3">
      <c r="B328" s="3" t="s">
        <v>0</v>
      </c>
      <c r="C328" s="3" t="s">
        <v>1</v>
      </c>
      <c r="D328" s="3" t="s">
        <v>2</v>
      </c>
      <c r="E328" s="3" t="s">
        <v>3</v>
      </c>
      <c r="F328" s="3" t="s">
        <v>0</v>
      </c>
      <c r="G328" s="3" t="s">
        <v>1</v>
      </c>
      <c r="H328" s="3" t="s">
        <v>2</v>
      </c>
      <c r="I328" s="3" t="s">
        <v>3</v>
      </c>
      <c r="J328" s="3" t="s">
        <v>0</v>
      </c>
      <c r="K328" s="3" t="s">
        <v>1</v>
      </c>
      <c r="L328" s="3" t="s">
        <v>2</v>
      </c>
      <c r="M328" s="3" t="s">
        <v>3</v>
      </c>
      <c r="T328" s="3">
        <f>$O$19</f>
        <v>0.2</v>
      </c>
      <c r="U328" s="3" t="s">
        <v>1</v>
      </c>
      <c r="V328" s="3" t="s">
        <v>2</v>
      </c>
      <c r="W328" s="3" t="s">
        <v>3</v>
      </c>
      <c r="X328" s="3" t="s">
        <v>0</v>
      </c>
      <c r="Y328" s="3" t="s">
        <v>1</v>
      </c>
      <c r="Z328" s="3" t="s">
        <v>2</v>
      </c>
      <c r="AA328" s="3" t="s">
        <v>3</v>
      </c>
      <c r="AB328" s="3" t="s">
        <v>0</v>
      </c>
      <c r="AC328" s="3" t="s">
        <v>1</v>
      </c>
      <c r="AD328" s="3" t="s">
        <v>2</v>
      </c>
      <c r="AE328" s="3" t="s">
        <v>3</v>
      </c>
    </row>
    <row r="329" spans="1:31" x14ac:dyDescent="0.3">
      <c r="B329" s="3">
        <f>$B$4</f>
        <v>0.1</v>
      </c>
      <c r="C329" s="3">
        <f>C314 + $O$7 * B314 * B323</f>
        <v>9.9946787233913745E-2</v>
      </c>
      <c r="D329" s="3">
        <f>B329*C329+B330*C330</f>
        <v>2.9989357446782747E-2</v>
      </c>
      <c r="E329" s="3">
        <f>1/(1+EXP(-D329))</f>
        <v>0.50749677751065758</v>
      </c>
      <c r="F329" s="3">
        <f>E329</f>
        <v>0.50749677751065758</v>
      </c>
      <c r="G329" s="3">
        <f>G314 + $O$7 * F314 * F323</f>
        <v>0.10100842492487133</v>
      </c>
      <c r="H329" s="3">
        <f>F329*G329+F330*G330</f>
        <v>0.1552915443973216</v>
      </c>
      <c r="I329" s="3">
        <f>1/(1+EXP(-H329))</f>
        <v>0.53874505446330667</v>
      </c>
      <c r="J329" s="3">
        <f>I329</f>
        <v>0.53874505446330667</v>
      </c>
      <c r="K329" s="3">
        <f>K314 + $P$18 * J314 * J323</f>
        <v>-0.21786689668046699</v>
      </c>
      <c r="L329" s="3">
        <f>J329*K329+J330*K330</f>
        <v>5.1716352112977371E-3</v>
      </c>
      <c r="M329" s="3">
        <f>1/(1+EXP(-L329))</f>
        <v>0.50129290592117426</v>
      </c>
      <c r="T329" s="3">
        <f t="shared" ref="T329:T335" si="68">$O$19</f>
        <v>0.2</v>
      </c>
      <c r="U329" s="3">
        <f>U314 + $O$7 * T314 * T323</f>
        <v>9.9946723246711347E-2</v>
      </c>
      <c r="V329" s="3">
        <f>T329*U329+T330*U330</f>
        <v>5.9978689298684537E-2</v>
      </c>
      <c r="W329" s="3">
        <f>1/(1+EXP(-V329))</f>
        <v>0.51499017873441277</v>
      </c>
      <c r="X329" s="3">
        <f>W329</f>
        <v>0.51499017873441277</v>
      </c>
      <c r="Y329" s="3">
        <f>Y314 + $O$7 * X314 * X323</f>
        <v>0.10101218900479315</v>
      </c>
      <c r="Z329" s="3">
        <f>X329*Y329+X330*Y330</f>
        <v>0.15955975999514788</v>
      </c>
      <c r="AA329" s="3">
        <f>1/(1+EXP(-Z329))</f>
        <v>0.53980552402392079</v>
      </c>
      <c r="AB329" s="3">
        <f>AA329</f>
        <v>0.53980552402392079</v>
      </c>
      <c r="AC329" s="3">
        <f>AC314 +  $P$19 * AB314 * AB323</f>
        <v>-0.21823139564205718</v>
      </c>
      <c r="AD329" s="3">
        <f>AB329*AC329+AB330*AC330</f>
        <v>5.2047872538231593E-3</v>
      </c>
      <c r="AE329" s="3">
        <f>1/(1+EXP(-AD329))</f>
        <v>0.50130119387603256</v>
      </c>
    </row>
    <row r="330" spans="1:31" x14ac:dyDescent="0.3">
      <c r="B330" s="3">
        <f>$B$5</f>
        <v>0.1</v>
      </c>
      <c r="C330" s="3">
        <f>C315 + $O$7 * B315 * B323</f>
        <v>0.19994678723391371</v>
      </c>
      <c r="D330" s="3">
        <f>B329*C331+B330*C332</f>
        <v>6.998648587376638E-2</v>
      </c>
      <c r="E330" s="3">
        <f>1/(1+EXP(-D330))</f>
        <v>0.51748948326935729</v>
      </c>
      <c r="F330" s="3">
        <f>E330</f>
        <v>0.51748948326935729</v>
      </c>
      <c r="G330" s="3">
        <f>G315 + $O$7 * F315 * F323</f>
        <v>0.20102842204500171</v>
      </c>
      <c r="H330" s="3">
        <f>F329*G331+F330*G332</f>
        <v>0.35574156182219008</v>
      </c>
      <c r="I330" s="3">
        <f>1/(1+EXP(-H330))</f>
        <v>0.58800919679996011</v>
      </c>
      <c r="J330" s="3">
        <f>I330</f>
        <v>0.58800919679996011</v>
      </c>
      <c r="K330" s="3">
        <f>K315 + $P$18 * J315 * J324</f>
        <v>0.20840889733712384</v>
      </c>
      <c r="L330" s="3"/>
      <c r="M330" s="3"/>
      <c r="T330" s="3">
        <f t="shared" si="68"/>
        <v>0.2</v>
      </c>
      <c r="U330" s="3">
        <f>U315 + $O$7 * T315 * T323</f>
        <v>0.19994672324671131</v>
      </c>
      <c r="V330" s="3">
        <f>T329*U331+T330*U332</f>
        <v>0.13997294726688081</v>
      </c>
      <c r="W330" s="3">
        <f>1/(1+EXP(-V330))</f>
        <v>0.53493621500021493</v>
      </c>
      <c r="X330" s="3">
        <f>W330</f>
        <v>0.53493621500021493</v>
      </c>
      <c r="Y330" s="3">
        <f>Y315 + $O$7 * X315 * X323</f>
        <v>0.20103233191114558</v>
      </c>
      <c r="Z330" s="3">
        <f>X329*Y331+X330*Y332</f>
        <v>0.36487890111848692</v>
      </c>
      <c r="AA330" s="3">
        <f>1/(1+EXP(-Z330))</f>
        <v>0.59022096325320439</v>
      </c>
      <c r="AB330" s="3">
        <f>AA330</f>
        <v>0.59022096325320439</v>
      </c>
      <c r="AC330" s="3">
        <f>AC315 +  $P$19 * AB315 * AB324</f>
        <v>0.20840889733712384</v>
      </c>
      <c r="AD330" s="3"/>
      <c r="AE330" s="3"/>
    </row>
    <row r="331" spans="1:31" x14ac:dyDescent="0.3">
      <c r="B331" s="3">
        <f>$B$6</f>
        <v>0.1</v>
      </c>
      <c r="C331" s="3">
        <f>C316 + $O$7 * B314 * B324</f>
        <v>0.29993242936883185</v>
      </c>
      <c r="D331" s="3"/>
      <c r="E331" s="3"/>
      <c r="F331" s="3"/>
      <c r="G331" s="3">
        <f>G316 + $O$7 * F314 * F324</f>
        <v>0.29662148871231075</v>
      </c>
      <c r="H331" s="3"/>
      <c r="I331" s="3"/>
      <c r="J331" s="3"/>
      <c r="K331" s="3"/>
      <c r="L331" s="3"/>
      <c r="M331" s="3"/>
      <c r="T331" s="3">
        <f t="shared" si="68"/>
        <v>0.2</v>
      </c>
      <c r="U331" s="3">
        <f>U316 + $O$7 * T314 * T324</f>
        <v>0.29993236816720198</v>
      </c>
      <c r="V331" s="3"/>
      <c r="W331" s="3"/>
      <c r="X331" s="3"/>
      <c r="Y331" s="3">
        <f>Y316 + $O$7 * X314 * X324</f>
        <v>0.2966179830582874</v>
      </c>
      <c r="Z331" s="3"/>
      <c r="AA331" s="3"/>
      <c r="AB331" s="3"/>
      <c r="AC331" s="3"/>
      <c r="AD331" s="3"/>
      <c r="AE331" s="3"/>
    </row>
    <row r="332" spans="1:31" x14ac:dyDescent="0.3">
      <c r="B332" s="3">
        <f>$B$7</f>
        <v>0.1</v>
      </c>
      <c r="C332" s="3">
        <f>C317 + $O$7 * B315* B324</f>
        <v>0.39993242936883189</v>
      </c>
      <c r="D332" s="3"/>
      <c r="E332" s="3"/>
      <c r="F332" s="3"/>
      <c r="G332" s="3">
        <f>G317 + $O$7 * F315* F324</f>
        <v>0.39654354106645029</v>
      </c>
      <c r="H332" s="3"/>
      <c r="I332" s="3"/>
      <c r="J332" s="3"/>
      <c r="K332" s="3"/>
      <c r="L332" s="3"/>
      <c r="M332" s="3"/>
      <c r="T332" s="3">
        <f t="shared" si="68"/>
        <v>0.2</v>
      </c>
      <c r="U332" s="3">
        <f>U317 + $O$7 * T315* T324</f>
        <v>0.39993236816720201</v>
      </c>
      <c r="V332" s="3"/>
      <c r="W332" s="3"/>
      <c r="X332" s="3"/>
      <c r="Y332" s="3">
        <f>Y317 + $O$7 * X315* X324</f>
        <v>0.39653989963527381</v>
      </c>
      <c r="Z332" s="3"/>
      <c r="AA332" s="3"/>
      <c r="AB332" s="3"/>
      <c r="AC332" s="3"/>
      <c r="AD332" s="3"/>
      <c r="AE332" s="3"/>
    </row>
    <row r="333" spans="1:31" x14ac:dyDescent="0.3">
      <c r="B333" s="3">
        <f>$B$8</f>
        <v>0.1</v>
      </c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T333" s="3">
        <f t="shared" si="68"/>
        <v>0.2</v>
      </c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 spans="1:31" x14ac:dyDescent="0.3">
      <c r="B334" s="3">
        <f>$B$9</f>
        <v>0.1</v>
      </c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T334" s="3">
        <f t="shared" si="68"/>
        <v>0.2</v>
      </c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 spans="1:31" x14ac:dyDescent="0.3">
      <c r="B335" s="3">
        <f>$B$10</f>
        <v>0.1</v>
      </c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T335" s="3">
        <f t="shared" si="68"/>
        <v>0.2</v>
      </c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 spans="1:31" x14ac:dyDescent="0.3">
      <c r="B336" s="3">
        <f>$B$11</f>
        <v>0.1</v>
      </c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T336" s="3">
        <f>$B$11</f>
        <v>0.1</v>
      </c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42" spans="2:31" x14ac:dyDescent="0.3">
      <c r="B342" s="8" t="s">
        <v>4</v>
      </c>
      <c r="C342" s="8"/>
      <c r="D342" s="8"/>
      <c r="E342" s="8"/>
      <c r="F342" s="8" t="s">
        <v>5</v>
      </c>
      <c r="G342" s="8"/>
      <c r="H342" s="8"/>
      <c r="I342" s="8"/>
      <c r="J342" s="8" t="s">
        <v>6</v>
      </c>
      <c r="K342" s="8"/>
      <c r="L342" s="8"/>
      <c r="M342" s="8"/>
      <c r="T342" s="9" t="s">
        <v>4</v>
      </c>
      <c r="U342" s="10"/>
      <c r="V342" s="10"/>
      <c r="W342" s="11"/>
      <c r="X342" s="9" t="s">
        <v>5</v>
      </c>
      <c r="Y342" s="10"/>
      <c r="Z342" s="10"/>
      <c r="AA342" s="11"/>
      <c r="AB342" s="9" t="s">
        <v>6</v>
      </c>
      <c r="AC342" s="10"/>
      <c r="AD342" s="10"/>
      <c r="AE342" s="11"/>
    </row>
    <row r="343" spans="2:31" x14ac:dyDescent="0.3"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T343" s="12"/>
      <c r="U343" s="13"/>
      <c r="V343" s="13"/>
      <c r="W343" s="14"/>
      <c r="X343" s="12"/>
      <c r="Y343" s="13"/>
      <c r="Z343" s="13"/>
      <c r="AA343" s="14"/>
      <c r="AB343" s="12"/>
      <c r="AC343" s="13"/>
      <c r="AD343" s="13"/>
      <c r="AE343" s="14"/>
    </row>
    <row r="344" spans="2:31" x14ac:dyDescent="0.3">
      <c r="B344" s="3" t="s">
        <v>0</v>
      </c>
      <c r="C344" s="3" t="s">
        <v>1</v>
      </c>
      <c r="D344" s="3" t="s">
        <v>2</v>
      </c>
      <c r="E344" s="3" t="s">
        <v>3</v>
      </c>
      <c r="F344" s="3" t="s">
        <v>0</v>
      </c>
      <c r="G344" s="3" t="s">
        <v>1</v>
      </c>
      <c r="H344" s="3" t="s">
        <v>2</v>
      </c>
      <c r="I344" s="3" t="s">
        <v>3</v>
      </c>
      <c r="J344" s="3" t="s">
        <v>0</v>
      </c>
      <c r="K344" s="3" t="s">
        <v>1</v>
      </c>
      <c r="L344" s="3" t="s">
        <v>2</v>
      </c>
      <c r="M344" s="3" t="s">
        <v>3</v>
      </c>
      <c r="T344" s="3" t="s">
        <v>0</v>
      </c>
      <c r="U344" s="3" t="s">
        <v>1</v>
      </c>
      <c r="V344" s="3" t="s">
        <v>2</v>
      </c>
      <c r="W344" s="3" t="s">
        <v>3</v>
      </c>
      <c r="X344" s="3" t="s">
        <v>0</v>
      </c>
      <c r="Y344" s="3" t="s">
        <v>1</v>
      </c>
      <c r="Z344" s="3" t="s">
        <v>2</v>
      </c>
      <c r="AA344" s="3" t="s">
        <v>3</v>
      </c>
      <c r="AB344" s="3" t="s">
        <v>0</v>
      </c>
      <c r="AC344" s="3" t="s">
        <v>1</v>
      </c>
      <c r="AD344" s="3" t="s">
        <v>2</v>
      </c>
      <c r="AE344" s="3" t="s">
        <v>3</v>
      </c>
    </row>
    <row r="345" spans="2:31" x14ac:dyDescent="0.3">
      <c r="B345" s="3">
        <f>$B$4</f>
        <v>0.1</v>
      </c>
      <c r="C345" s="3">
        <f>U329</f>
        <v>9.9946723246711347E-2</v>
      </c>
      <c r="D345" s="3">
        <f>B345*C345+B346*C346</f>
        <v>2.9989344649342269E-2</v>
      </c>
      <c r="E345" s="3">
        <f>1/(1+EXP(-D345))</f>
        <v>0.50749677431201667</v>
      </c>
      <c r="F345" s="3">
        <f>E345</f>
        <v>0.50749677431201667</v>
      </c>
      <c r="G345" s="3">
        <f>Y329</f>
        <v>0.10101218900479315</v>
      </c>
      <c r="H345" s="3">
        <f>F345*G345+F346*G346</f>
        <v>0.1552954770328383</v>
      </c>
      <c r="I345" s="3">
        <f>1/(1+EXP(-H345))</f>
        <v>0.53874603171844615</v>
      </c>
      <c r="J345" s="3">
        <f>I345</f>
        <v>0.53874603171844615</v>
      </c>
      <c r="K345" s="3">
        <f>AC329</f>
        <v>-0.21823139564205718</v>
      </c>
      <c r="L345" s="3">
        <f>J345*K345+J346*K346</f>
        <v>4.9748648582797345E-3</v>
      </c>
      <c r="M345" s="3">
        <f>1/(1+EXP(-L345))</f>
        <v>0.50124371364948617</v>
      </c>
      <c r="T345" s="3">
        <f>$O$19</f>
        <v>0.2</v>
      </c>
      <c r="U345" s="3">
        <f>C360</f>
        <v>9.9944319822230024E-2</v>
      </c>
      <c r="V345" s="3">
        <f>T345*U345+T346*U346</f>
        <v>5.9977727928892006E-2</v>
      </c>
      <c r="W345" s="3">
        <f>1/(1+EXP(-V345))</f>
        <v>0.51498993860798614</v>
      </c>
      <c r="X345" s="3">
        <f>W345</f>
        <v>0.51498993860798614</v>
      </c>
      <c r="Y345" s="3">
        <f>G360</f>
        <v>0.10129082856943769</v>
      </c>
      <c r="Z345" s="3">
        <f>X345*Y345+X346*Y346</f>
        <v>0.15985517543470035</v>
      </c>
      <c r="AA345" s="3">
        <f>1/(1+EXP(-Z345))</f>
        <v>0.53987890894055013</v>
      </c>
      <c r="AB345" s="3">
        <f>AA345</f>
        <v>0.53987890894055013</v>
      </c>
      <c r="AC345" s="3">
        <f>K360</f>
        <v>-0.24004925522809692</v>
      </c>
      <c r="AD345" s="3">
        <f>AB345*AC345+AB346*AC346</f>
        <v>-6.6041047961727245E-3</v>
      </c>
      <c r="AE345" s="3">
        <f>1/(1+EXP(-AD345))</f>
        <v>0.49834897980161297</v>
      </c>
    </row>
    <row r="346" spans="2:31" x14ac:dyDescent="0.3">
      <c r="B346" s="3">
        <f>$B$5</f>
        <v>0.1</v>
      </c>
      <c r="C346" s="3">
        <f>U330</f>
        <v>0.19994672324671131</v>
      </c>
      <c r="D346" s="3">
        <f>B345*C347+B346*C348</f>
        <v>6.9986473633440405E-2</v>
      </c>
      <c r="E346" s="3">
        <f>1/(1+EXP(-D346))</f>
        <v>0.51748948021301988</v>
      </c>
      <c r="F346" s="3">
        <f>E346</f>
        <v>0.51748948021301988</v>
      </c>
      <c r="G346" s="3">
        <f t="shared" ref="G346:G348" si="69">Y330</f>
        <v>0.20103233191114558</v>
      </c>
      <c r="H346" s="3">
        <f>F345*G347+F346*G348</f>
        <v>0.35573789615099816</v>
      </c>
      <c r="I346" s="3">
        <f>1/(1+EXP(-H346))</f>
        <v>0.58800830877476706</v>
      </c>
      <c r="J346" s="3">
        <f>I346</f>
        <v>0.58800830877476706</v>
      </c>
      <c r="K346" s="3">
        <f>AC330</f>
        <v>0.20840889733712384</v>
      </c>
      <c r="L346" s="3"/>
      <c r="M346" s="3"/>
      <c r="T346" s="3">
        <f t="shared" ref="T346:T352" si="70">$O$19</f>
        <v>0.2</v>
      </c>
      <c r="U346" s="3">
        <f t="shared" ref="U346:U348" si="71">C361</f>
        <v>0.19994431982222999</v>
      </c>
      <c r="V346" s="3">
        <f>T345*U347+T346*U348</f>
        <v>0.13997202520788365</v>
      </c>
      <c r="W346" s="3">
        <f>1/(1+EXP(-V346))</f>
        <v>0.5349359856108673</v>
      </c>
      <c r="X346" s="3">
        <f>W346</f>
        <v>0.5349359856108673</v>
      </c>
      <c r="Y346" s="3">
        <f t="shared" ref="Y346:Y348" si="72">G361</f>
        <v>0.20131645794065611</v>
      </c>
      <c r="Z346" s="3">
        <f>X345*Y347+X346*Y348</f>
        <v>0.36460364350049612</v>
      </c>
      <c r="AA346" s="3">
        <f>1/(1+EXP(-Z346))</f>
        <v>0.59015438774386286</v>
      </c>
      <c r="AB346" s="3">
        <f>AA346</f>
        <v>0.59015438774386286</v>
      </c>
      <c r="AC346" s="3">
        <f>K361</f>
        <v>0.20840889733712384</v>
      </c>
      <c r="AD346" s="3"/>
      <c r="AE346" s="3"/>
    </row>
    <row r="347" spans="2:31" x14ac:dyDescent="0.3">
      <c r="B347" s="3">
        <f>$B$6</f>
        <v>0.1</v>
      </c>
      <c r="C347" s="3">
        <f t="shared" ref="C347:C348" si="73">U331</f>
        <v>0.29993236816720198</v>
      </c>
      <c r="D347" s="3"/>
      <c r="E347" s="3"/>
      <c r="F347" s="3"/>
      <c r="G347" s="3">
        <f t="shared" si="69"/>
        <v>0.2966179830582874</v>
      </c>
      <c r="H347" s="3"/>
      <c r="I347" s="3"/>
      <c r="J347" s="3"/>
      <c r="K347" s="3"/>
      <c r="L347" s="3"/>
      <c r="M347" s="3"/>
      <c r="T347" s="3">
        <f t="shared" si="70"/>
        <v>0.2</v>
      </c>
      <c r="U347" s="3">
        <f t="shared" si="71"/>
        <v>0.29993006301970909</v>
      </c>
      <c r="V347" s="3"/>
      <c r="W347" s="3"/>
      <c r="X347" s="3"/>
      <c r="Y347" s="3">
        <f t="shared" si="72"/>
        <v>0.29635857137651772</v>
      </c>
      <c r="Z347" s="3"/>
      <c r="AA347" s="3"/>
      <c r="AB347" s="3"/>
      <c r="AC347" s="3"/>
      <c r="AD347" s="3"/>
      <c r="AE347" s="3"/>
    </row>
    <row r="348" spans="2:31" x14ac:dyDescent="0.3">
      <c r="B348" s="3">
        <f>$B$7</f>
        <v>0.1</v>
      </c>
      <c r="C348" s="3">
        <f t="shared" si="73"/>
        <v>0.39993236816720201</v>
      </c>
      <c r="D348" s="3"/>
      <c r="E348" s="3"/>
      <c r="F348" s="3"/>
      <c r="G348" s="3">
        <f t="shared" si="69"/>
        <v>0.39653989963527381</v>
      </c>
      <c r="H348" s="3"/>
      <c r="I348" s="3"/>
      <c r="J348" s="3"/>
      <c r="K348" s="3"/>
      <c r="L348" s="3"/>
      <c r="M348" s="3"/>
      <c r="T348" s="3">
        <f t="shared" si="70"/>
        <v>0.2</v>
      </c>
      <c r="U348" s="3">
        <f t="shared" si="71"/>
        <v>0.39993006301970913</v>
      </c>
      <c r="V348" s="3"/>
      <c r="W348" s="3"/>
      <c r="X348" s="3"/>
      <c r="Y348" s="3">
        <f t="shared" si="72"/>
        <v>0.39627538008922908</v>
      </c>
      <c r="Z348" s="3"/>
      <c r="AA348" s="3"/>
      <c r="AB348" s="3"/>
      <c r="AC348" s="3"/>
      <c r="AD348" s="3"/>
      <c r="AE348" s="3"/>
    </row>
    <row r="349" spans="2:31" x14ac:dyDescent="0.3">
      <c r="B349" s="3">
        <f>$B$8</f>
        <v>0.1</v>
      </c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T349" s="3">
        <f t="shared" si="70"/>
        <v>0.2</v>
      </c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 spans="2:31" x14ac:dyDescent="0.3">
      <c r="B350" s="3">
        <f>$B$9</f>
        <v>0.1</v>
      </c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T350" s="3">
        <f t="shared" si="70"/>
        <v>0.2</v>
      </c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 spans="2:31" x14ac:dyDescent="0.3">
      <c r="B351" s="3">
        <f>$B$10</f>
        <v>0.1</v>
      </c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T351" s="3">
        <f t="shared" si="70"/>
        <v>0.2</v>
      </c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 spans="2:31" x14ac:dyDescent="0.3">
      <c r="B352" s="3">
        <f>$B$11</f>
        <v>0.1</v>
      </c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T352" s="3">
        <f t="shared" si="70"/>
        <v>0.2</v>
      </c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4" spans="1:31" x14ac:dyDescent="0.3">
      <c r="A354" s="4" t="s">
        <v>7</v>
      </c>
      <c r="B354" s="5">
        <f>E345 * (1 - E345) * (G345 * F354 + G347 * F355)</f>
        <v>-2.4034244813290743E-4</v>
      </c>
      <c r="C354" s="6"/>
      <c r="D354" s="6"/>
      <c r="E354" s="7"/>
      <c r="F354" s="5">
        <f>I345 * (1 - I345) * K345 *J354</f>
        <v>5.4904696689405995E-3</v>
      </c>
      <c r="G354" s="6"/>
      <c r="H354" s="6"/>
      <c r="I354" s="7"/>
      <c r="J354" s="5">
        <f>$P$18 - M345</f>
        <v>-0.10124371364948614</v>
      </c>
      <c r="K354" s="6"/>
      <c r="L354" s="6"/>
      <c r="M354" s="7"/>
      <c r="S354" s="4" t="s">
        <v>7</v>
      </c>
      <c r="T354" s="5">
        <f>W345 * (1 - W345) * (Y345 * X354 + Y347 * X355)</f>
        <v>3.6697678413887332E-6</v>
      </c>
      <c r="U354" s="6"/>
      <c r="V354" s="6"/>
      <c r="W354" s="7"/>
      <c r="X354" s="5">
        <f>AA345 * (1 - AA345) * AC345 *AB354</f>
        <v>-9.8451253890061938E-5</v>
      </c>
      <c r="Y354" s="6"/>
      <c r="Z354" s="6"/>
      <c r="AA354" s="7"/>
      <c r="AB354" s="5">
        <f>$P$19 - AE345</f>
        <v>1.6510201983870321E-3</v>
      </c>
      <c r="AC354" s="6"/>
      <c r="AD354" s="6"/>
      <c r="AE354" s="7"/>
    </row>
    <row r="355" spans="1:31" x14ac:dyDescent="0.3">
      <c r="B355" s="5">
        <f>E346 * (1 - E346) * (G346 * F354 + G348 * F355)</f>
        <v>-2.3051474928680388E-4</v>
      </c>
      <c r="C355" s="6"/>
      <c r="D355" s="6"/>
      <c r="E355" s="7"/>
      <c r="F355" s="5">
        <f>J346 * (1 - J346) * K346 * J354</f>
        <v>-5.1115927213792314E-3</v>
      </c>
      <c r="G355" s="6"/>
      <c r="H355" s="6"/>
      <c r="I355" s="7"/>
      <c r="T355" s="5">
        <f>W346 * (1 - W346) * (Y346 * X354 + Y348 * X355)</f>
        <v>3.2739924419890612E-6</v>
      </c>
      <c r="U355" s="6"/>
      <c r="V355" s="6"/>
      <c r="W355" s="7"/>
      <c r="X355" s="5">
        <f>AB346 * (1 - AB346) * AC346 * AB354</f>
        <v>8.3225147318029456E-5</v>
      </c>
      <c r="Y355" s="6"/>
      <c r="Z355" s="6"/>
      <c r="AA355" s="7"/>
    </row>
    <row r="357" spans="1:31" x14ac:dyDescent="0.3">
      <c r="B357" s="8" t="s">
        <v>4</v>
      </c>
      <c r="C357" s="8"/>
      <c r="D357" s="8"/>
      <c r="E357" s="8"/>
      <c r="F357" s="8" t="s">
        <v>5</v>
      </c>
      <c r="G357" s="8"/>
      <c r="H357" s="8"/>
      <c r="I357" s="8"/>
      <c r="J357" s="8" t="s">
        <v>6</v>
      </c>
      <c r="K357" s="8"/>
      <c r="L357" s="8"/>
      <c r="M357" s="8"/>
      <c r="T357" s="9" t="s">
        <v>4</v>
      </c>
      <c r="U357" s="10"/>
      <c r="V357" s="10"/>
      <c r="W357" s="11"/>
      <c r="X357" s="9" t="s">
        <v>5</v>
      </c>
      <c r="Y357" s="10"/>
      <c r="Z357" s="10"/>
      <c r="AA357" s="11"/>
      <c r="AB357" s="9" t="s">
        <v>6</v>
      </c>
      <c r="AC357" s="10"/>
      <c r="AD357" s="10"/>
      <c r="AE357" s="11"/>
    </row>
    <row r="358" spans="1:31" x14ac:dyDescent="0.3"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T358" s="12"/>
      <c r="U358" s="13"/>
      <c r="V358" s="13"/>
      <c r="W358" s="14"/>
      <c r="X358" s="12"/>
      <c r="Y358" s="13"/>
      <c r="Z358" s="13"/>
      <c r="AA358" s="14"/>
      <c r="AB358" s="12"/>
      <c r="AC358" s="13"/>
      <c r="AD358" s="13"/>
      <c r="AE358" s="14"/>
    </row>
    <row r="359" spans="1:31" x14ac:dyDescent="0.3">
      <c r="B359" s="3" t="s">
        <v>0</v>
      </c>
      <c r="C359" s="3" t="s">
        <v>1</v>
      </c>
      <c r="D359" s="3" t="s">
        <v>2</v>
      </c>
      <c r="E359" s="3" t="s">
        <v>3</v>
      </c>
      <c r="F359" s="3" t="s">
        <v>0</v>
      </c>
      <c r="G359" s="3" t="s">
        <v>1</v>
      </c>
      <c r="H359" s="3" t="s">
        <v>2</v>
      </c>
      <c r="I359" s="3" t="s">
        <v>3</v>
      </c>
      <c r="J359" s="3" t="s">
        <v>0</v>
      </c>
      <c r="K359" s="3" t="s">
        <v>1</v>
      </c>
      <c r="L359" s="3" t="s">
        <v>2</v>
      </c>
      <c r="M359" s="3" t="s">
        <v>3</v>
      </c>
      <c r="T359" s="3">
        <f>$O$19</f>
        <v>0.2</v>
      </c>
      <c r="U359" s="3" t="s">
        <v>1</v>
      </c>
      <c r="V359" s="3" t="s">
        <v>2</v>
      </c>
      <c r="W359" s="3" t="s">
        <v>3</v>
      </c>
      <c r="X359" s="3" t="s">
        <v>0</v>
      </c>
      <c r="Y359" s="3" t="s">
        <v>1</v>
      </c>
      <c r="Z359" s="3" t="s">
        <v>2</v>
      </c>
      <c r="AA359" s="3" t="s">
        <v>3</v>
      </c>
      <c r="AB359" s="3" t="s">
        <v>0</v>
      </c>
      <c r="AC359" s="3" t="s">
        <v>1</v>
      </c>
      <c r="AD359" s="3" t="s">
        <v>2</v>
      </c>
      <c r="AE359" s="3" t="s">
        <v>3</v>
      </c>
    </row>
    <row r="360" spans="1:31" x14ac:dyDescent="0.3">
      <c r="B360" s="3">
        <f>$B$4</f>
        <v>0.1</v>
      </c>
      <c r="C360" s="3">
        <f>C345 + $O$7 * B345 * B354</f>
        <v>9.9944319822230024E-2</v>
      </c>
      <c r="D360" s="3">
        <f>B360*C360+B361*C361</f>
        <v>2.9988863964446003E-2</v>
      </c>
      <c r="E360" s="3">
        <f>1/(1+EXP(-D360))</f>
        <v>0.50749665416780754</v>
      </c>
      <c r="F360" s="3">
        <f>E360</f>
        <v>0.50749665416780754</v>
      </c>
      <c r="G360" s="3">
        <f>G345 + $O$7 * F345 * F354</f>
        <v>0.10129082856943769</v>
      </c>
      <c r="H360" s="3">
        <f>F360*G360+F361*G361</f>
        <v>0.15558388260009415</v>
      </c>
      <c r="I360" s="3">
        <f>1/(1+EXP(-H360))</f>
        <v>0.53881769933861601</v>
      </c>
      <c r="J360" s="3">
        <f>I360</f>
        <v>0.53881769933861601</v>
      </c>
      <c r="K360" s="3">
        <f>K345 + $P$18 * J345 * J354</f>
        <v>-0.24004925522809692</v>
      </c>
      <c r="L360" s="3">
        <f>J360*K360+J361*K361</f>
        <v>-6.8101864743741192E-3</v>
      </c>
      <c r="M360" s="3">
        <f>1/(1+EXP(-L360))</f>
        <v>0.49829745996152569</v>
      </c>
      <c r="T360" s="3">
        <f t="shared" ref="T360:T366" si="74">$O$19</f>
        <v>0.2</v>
      </c>
      <c r="U360" s="3">
        <f>U345 + $O$7 * T345 * T354</f>
        <v>9.9944393217586858E-2</v>
      </c>
      <c r="V360" s="3">
        <f>T360*U360+T361*U361</f>
        <v>5.9977757287034736E-2</v>
      </c>
      <c r="W360" s="3">
        <f>1/(1+EXP(-V360))</f>
        <v>0.51498994594092506</v>
      </c>
      <c r="X360" s="3">
        <f>W360</f>
        <v>0.51498994594092506</v>
      </c>
      <c r="Y360" s="3">
        <f>Y345 + $O$7 * X345 * X354</f>
        <v>0.10128575842891802</v>
      </c>
      <c r="Z360" s="3">
        <f>X360*Y360+X361*Y361</f>
        <v>0.15984974917110578</v>
      </c>
      <c r="AA360" s="3">
        <f>1/(1+EXP(-Z360))</f>
        <v>0.53987756100389528</v>
      </c>
      <c r="AB360" s="3">
        <f>AA360</f>
        <v>0.53987756100389528</v>
      </c>
      <c r="AC360" s="3">
        <f>AC345 +  $P$19 * AB345 * AB354</f>
        <v>-0.23960357973642493</v>
      </c>
      <c r="AD360" s="3">
        <f>AB360*AC360+AB361*AC361</f>
        <v>-6.362939474524168E-3</v>
      </c>
      <c r="AE360" s="3">
        <f>1/(1+EXP(-AD360))</f>
        <v>0.49840927049835393</v>
      </c>
    </row>
    <row r="361" spans="1:31" x14ac:dyDescent="0.3">
      <c r="B361" s="3">
        <f>$B$5</f>
        <v>0.1</v>
      </c>
      <c r="C361" s="3">
        <f>C346 + $O$7 * B346 * B354</f>
        <v>0.19994431982222999</v>
      </c>
      <c r="D361" s="3">
        <f>B360*C362+B361*C363</f>
        <v>6.9986012603941827E-2</v>
      </c>
      <c r="E361" s="3">
        <f>1/(1+EXP(-D361))</f>
        <v>0.51748936509666477</v>
      </c>
      <c r="F361" s="3">
        <f>E361</f>
        <v>0.51748936509666477</v>
      </c>
      <c r="G361" s="3">
        <f>G346 + $O$7 * F346 * F354</f>
        <v>0.20131645794065611</v>
      </c>
      <c r="H361" s="3">
        <f>F360*G362+F361*G363</f>
        <v>0.35546927825334873</v>
      </c>
      <c r="I361" s="3">
        <f>1/(1+EXP(-H361))</f>
        <v>0.58794323333215293</v>
      </c>
      <c r="J361" s="3">
        <f>I361</f>
        <v>0.58794323333215293</v>
      </c>
      <c r="K361" s="3">
        <f>K346 + $P$18 * J346 * J355</f>
        <v>0.20840889733712384</v>
      </c>
      <c r="L361" s="3"/>
      <c r="M361" s="3"/>
      <c r="T361" s="3">
        <f t="shared" si="74"/>
        <v>0.2</v>
      </c>
      <c r="U361" s="3">
        <f>U346 + $O$7 * T346 * T354</f>
        <v>0.19994439321758681</v>
      </c>
      <c r="V361" s="3">
        <f>T360*U362+T361*U363</f>
        <v>0.13997205139982316</v>
      </c>
      <c r="W361" s="3">
        <f>1/(1+EXP(-V361))</f>
        <v>0.53493599212688436</v>
      </c>
      <c r="X361" s="3">
        <f>W361</f>
        <v>0.53493599212688436</v>
      </c>
      <c r="Y361" s="3">
        <f>Y346 + $O$7 * X346 * X354</f>
        <v>0.20131119142880269</v>
      </c>
      <c r="Z361" s="3">
        <f>X360*Y362+X361*Y363</f>
        <v>0.36460823705035472</v>
      </c>
      <c r="AA361" s="3">
        <f>1/(1+EXP(-Z361))</f>
        <v>0.59015549879535023</v>
      </c>
      <c r="AB361" s="3">
        <f>AA361</f>
        <v>0.59015549879535023</v>
      </c>
      <c r="AC361" s="3">
        <f>AC346 +  $P$19 * AB346 * AB355</f>
        <v>0.20840889733712384</v>
      </c>
      <c r="AD361" s="3"/>
      <c r="AE361" s="3"/>
    </row>
    <row r="362" spans="1:31" x14ac:dyDescent="0.3">
      <c r="B362" s="3">
        <f>$B$6</f>
        <v>0.1</v>
      </c>
      <c r="C362" s="3">
        <f>C347 + $O$7 * B345 * B355</f>
        <v>0.29993006301970909</v>
      </c>
      <c r="D362" s="3"/>
      <c r="E362" s="3"/>
      <c r="F362" s="3"/>
      <c r="G362" s="3">
        <f>G347 + $O$7 * F345 * F355</f>
        <v>0.29635857137651772</v>
      </c>
      <c r="H362" s="3"/>
      <c r="I362" s="3"/>
      <c r="J362" s="3"/>
      <c r="K362" s="3"/>
      <c r="L362" s="3"/>
      <c r="M362" s="3"/>
      <c r="T362" s="3">
        <f t="shared" si="74"/>
        <v>0.2</v>
      </c>
      <c r="U362" s="3">
        <f>U347 + $O$7 * T345 * T355</f>
        <v>0.29993012849955791</v>
      </c>
      <c r="V362" s="3"/>
      <c r="W362" s="3"/>
      <c r="X362" s="3"/>
      <c r="Y362" s="3">
        <f>Y347 + $O$7 * X345 * X355</f>
        <v>0.29636285738786849</v>
      </c>
      <c r="Z362" s="3"/>
      <c r="AA362" s="3"/>
      <c r="AB362" s="3"/>
      <c r="AC362" s="3"/>
      <c r="AD362" s="3"/>
      <c r="AE362" s="3"/>
    </row>
    <row r="363" spans="1:31" x14ac:dyDescent="0.3">
      <c r="B363" s="3">
        <f>$B$7</f>
        <v>0.1</v>
      </c>
      <c r="C363" s="3">
        <f>C348 + $O$7 * B346* B355</f>
        <v>0.39993006301970913</v>
      </c>
      <c r="D363" s="3"/>
      <c r="E363" s="3"/>
      <c r="F363" s="3"/>
      <c r="G363" s="3">
        <f>G348 + $O$7 * F346* F355</f>
        <v>0.39627538008922908</v>
      </c>
      <c r="H363" s="3"/>
      <c r="I363" s="3"/>
      <c r="J363" s="3"/>
      <c r="K363" s="3"/>
      <c r="L363" s="3"/>
      <c r="M363" s="3"/>
      <c r="T363" s="3">
        <f t="shared" si="74"/>
        <v>0.2</v>
      </c>
      <c r="U363" s="3">
        <f>U348 + $O$7 * T346* T355</f>
        <v>0.39993012849955795</v>
      </c>
      <c r="V363" s="3"/>
      <c r="W363" s="3"/>
      <c r="X363" s="3"/>
      <c r="Y363" s="3">
        <f>Y348 + $O$7 * X346* X355</f>
        <v>0.39627983210184992</v>
      </c>
      <c r="Z363" s="3"/>
      <c r="AA363" s="3"/>
      <c r="AB363" s="3"/>
      <c r="AC363" s="3"/>
      <c r="AD363" s="3"/>
      <c r="AE363" s="3"/>
    </row>
    <row r="364" spans="1:31" x14ac:dyDescent="0.3">
      <c r="B364" s="3">
        <f>$B$8</f>
        <v>0.1</v>
      </c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T364" s="3">
        <f t="shared" si="74"/>
        <v>0.2</v>
      </c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 spans="1:31" x14ac:dyDescent="0.3">
      <c r="B365" s="3">
        <f>$B$9</f>
        <v>0.1</v>
      </c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T365" s="3">
        <f t="shared" si="74"/>
        <v>0.2</v>
      </c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 spans="1:31" x14ac:dyDescent="0.3">
      <c r="B366" s="3">
        <f>$B$10</f>
        <v>0.1</v>
      </c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T366" s="3">
        <f t="shared" si="74"/>
        <v>0.2</v>
      </c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 spans="1:31" x14ac:dyDescent="0.3">
      <c r="B367" s="3">
        <f>$B$11</f>
        <v>0.1</v>
      </c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T367" s="3">
        <f>$B$11</f>
        <v>0.1</v>
      </c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73" spans="2:31" x14ac:dyDescent="0.3">
      <c r="B373" s="8" t="s">
        <v>4</v>
      </c>
      <c r="C373" s="8"/>
      <c r="D373" s="8"/>
      <c r="E373" s="8"/>
      <c r="F373" s="8" t="s">
        <v>5</v>
      </c>
      <c r="G373" s="8"/>
      <c r="H373" s="8"/>
      <c r="I373" s="8"/>
      <c r="J373" s="8" t="s">
        <v>6</v>
      </c>
      <c r="K373" s="8"/>
      <c r="L373" s="8"/>
      <c r="M373" s="8"/>
      <c r="T373" s="9" t="s">
        <v>4</v>
      </c>
      <c r="U373" s="10"/>
      <c r="V373" s="10"/>
      <c r="W373" s="11"/>
      <c r="X373" s="9" t="s">
        <v>5</v>
      </c>
      <c r="Y373" s="10"/>
      <c r="Z373" s="10"/>
      <c r="AA373" s="11"/>
      <c r="AB373" s="9" t="s">
        <v>6</v>
      </c>
      <c r="AC373" s="10"/>
      <c r="AD373" s="10"/>
      <c r="AE373" s="11"/>
    </row>
    <row r="374" spans="2:31" x14ac:dyDescent="0.3"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T374" s="12"/>
      <c r="U374" s="13"/>
      <c r="V374" s="13"/>
      <c r="W374" s="14"/>
      <c r="X374" s="12"/>
      <c r="Y374" s="13"/>
      <c r="Z374" s="13"/>
      <c r="AA374" s="14"/>
      <c r="AB374" s="12"/>
      <c r="AC374" s="13"/>
      <c r="AD374" s="13"/>
      <c r="AE374" s="14"/>
    </row>
    <row r="375" spans="2:31" x14ac:dyDescent="0.3">
      <c r="B375" s="3" t="s">
        <v>0</v>
      </c>
      <c r="C375" s="3" t="s">
        <v>1</v>
      </c>
      <c r="D375" s="3" t="s">
        <v>2</v>
      </c>
      <c r="E375" s="3" t="s">
        <v>3</v>
      </c>
      <c r="F375" s="3" t="s">
        <v>0</v>
      </c>
      <c r="G375" s="3" t="s">
        <v>1</v>
      </c>
      <c r="H375" s="3" t="s">
        <v>2</v>
      </c>
      <c r="I375" s="3" t="s">
        <v>3</v>
      </c>
      <c r="J375" s="3" t="s">
        <v>0</v>
      </c>
      <c r="K375" s="3" t="s">
        <v>1</v>
      </c>
      <c r="L375" s="3" t="s">
        <v>2</v>
      </c>
      <c r="M375" s="3" t="s">
        <v>3</v>
      </c>
      <c r="T375" s="3" t="s">
        <v>0</v>
      </c>
      <c r="U375" s="3" t="s">
        <v>1</v>
      </c>
      <c r="V375" s="3" t="s">
        <v>2</v>
      </c>
      <c r="W375" s="3" t="s">
        <v>3</v>
      </c>
      <c r="X375" s="3" t="s">
        <v>0</v>
      </c>
      <c r="Y375" s="3" t="s">
        <v>1</v>
      </c>
      <c r="Z375" s="3" t="s">
        <v>2</v>
      </c>
      <c r="AA375" s="3" t="s">
        <v>3</v>
      </c>
      <c r="AB375" s="3" t="s">
        <v>0</v>
      </c>
      <c r="AC375" s="3" t="s">
        <v>1</v>
      </c>
      <c r="AD375" s="3" t="s">
        <v>2</v>
      </c>
      <c r="AE375" s="3" t="s">
        <v>3</v>
      </c>
    </row>
    <row r="376" spans="2:31" x14ac:dyDescent="0.3">
      <c r="B376" s="3">
        <f>$B$4</f>
        <v>0.1</v>
      </c>
      <c r="C376" s="3">
        <f>U360</f>
        <v>9.9944393217586858E-2</v>
      </c>
      <c r="D376" s="3">
        <f>B376*C376+B377*C377</f>
        <v>2.9988878643517368E-2</v>
      </c>
      <c r="E376" s="3">
        <f>1/(1+EXP(-D376))</f>
        <v>0.50749665783675046</v>
      </c>
      <c r="F376" s="3">
        <f>E376</f>
        <v>0.50749665783675046</v>
      </c>
      <c r="G376" s="3">
        <f>Y360</f>
        <v>0.10128575842891802</v>
      </c>
      <c r="H376" s="3">
        <f>F376*G376+F377*G377</f>
        <v>0.15557858518676554</v>
      </c>
      <c r="I376" s="3">
        <f>1/(1+EXP(-H376))</f>
        <v>0.53881638296722867</v>
      </c>
      <c r="J376" s="3">
        <f>I376</f>
        <v>0.53881638296722867</v>
      </c>
      <c r="K376" s="3">
        <f>AC360</f>
        <v>-0.23960357973642493</v>
      </c>
      <c r="L376" s="3">
        <f>J376*K376+J377*K377</f>
        <v>-6.5695069570372716E-3</v>
      </c>
      <c r="M376" s="3">
        <f>1/(1+EXP(-L376))</f>
        <v>0.49835762916758086</v>
      </c>
      <c r="T376" s="3">
        <f>$O$19</f>
        <v>0.2</v>
      </c>
      <c r="U376" s="3">
        <f>C391</f>
        <v>9.9942197158889204E-2</v>
      </c>
      <c r="V376" s="3">
        <f>T376*U376+T377*U377</f>
        <v>5.9976878863555683E-2</v>
      </c>
      <c r="W376" s="3">
        <f>1/(1+EXP(-V376))</f>
        <v>0.51498972653243291</v>
      </c>
      <c r="X376" s="3">
        <f>W376</f>
        <v>0.51498972653243291</v>
      </c>
      <c r="Y376" s="3">
        <f>G391</f>
        <v>0.10158295870185376</v>
      </c>
      <c r="Z376" s="3">
        <f>X376*Y376+X377*Y377</f>
        <v>0.16016485603935676</v>
      </c>
      <c r="AA376" s="3">
        <f>1/(1+EXP(-Z376))</f>
        <v>0.53995583564753169</v>
      </c>
      <c r="AB376" s="3">
        <f>AA376</f>
        <v>0.53995583564753169</v>
      </c>
      <c r="AC376" s="3">
        <f>K391</f>
        <v>-0.26080226053054811</v>
      </c>
      <c r="AD376" s="3">
        <f>AB376*AC376+AB377*AC377</f>
        <v>-1.7841525685619947E-2</v>
      </c>
      <c r="AE376" s="3">
        <f>1/(1+EXP(-AD376))</f>
        <v>0.49553973689389436</v>
      </c>
    </row>
    <row r="377" spans="2:31" x14ac:dyDescent="0.3">
      <c r="B377" s="3">
        <f>$B$5</f>
        <v>0.1</v>
      </c>
      <c r="C377" s="3">
        <f>U361</f>
        <v>0.19994439321758681</v>
      </c>
      <c r="D377" s="3">
        <f>B376*C378+B377*C379</f>
        <v>6.998602569991158E-2</v>
      </c>
      <c r="E377" s="3">
        <f>1/(1+EXP(-D377))</f>
        <v>0.51748936836665149</v>
      </c>
      <c r="F377" s="3">
        <f>E377</f>
        <v>0.51748936836665149</v>
      </c>
      <c r="G377" s="3">
        <f t="shared" ref="G377:G379" si="75">Y361</f>
        <v>0.20131119142880269</v>
      </c>
      <c r="H377" s="3">
        <f>F376*G378+F377*G379</f>
        <v>0.3554737596421218</v>
      </c>
      <c r="I377" s="3">
        <f>1/(1+EXP(-H377))</f>
        <v>0.58794431901980237</v>
      </c>
      <c r="J377" s="3">
        <f>I377</f>
        <v>0.58794431901980237</v>
      </c>
      <c r="K377" s="3">
        <f>AC361</f>
        <v>0.20840889733712384</v>
      </c>
      <c r="L377" s="3"/>
      <c r="M377" s="3"/>
      <c r="T377" s="3">
        <f t="shared" ref="T377:T383" si="76">$O$19</f>
        <v>0.2</v>
      </c>
      <c r="U377" s="3">
        <f t="shared" ref="U377:U379" si="77">C392</f>
        <v>0.19994219715888917</v>
      </c>
      <c r="V377" s="3">
        <f>T376*U378+T377*U379</f>
        <v>0.13997126331456683</v>
      </c>
      <c r="W377" s="3">
        <f>1/(1+EXP(-V377))</f>
        <v>0.53493579606744146</v>
      </c>
      <c r="X377" s="3">
        <f>W377</f>
        <v>0.53493579606744146</v>
      </c>
      <c r="Y377" s="3">
        <f t="shared" ref="Y377:Y379" si="78">G392</f>
        <v>0.20161424363445757</v>
      </c>
      <c r="Z377" s="3">
        <f>X376*Y378+X377*Y379</f>
        <v>0.36434082859696298</v>
      </c>
      <c r="AA377" s="3">
        <f>1/(1+EXP(-Z377))</f>
        <v>0.59009081862269896</v>
      </c>
      <c r="AB377" s="3">
        <f>AA377</f>
        <v>0.59009081862269896</v>
      </c>
      <c r="AC377" s="3">
        <f>K392</f>
        <v>0.20840889733712384</v>
      </c>
      <c r="AD377" s="3"/>
      <c r="AE377" s="3"/>
    </row>
    <row r="378" spans="2:31" x14ac:dyDescent="0.3">
      <c r="B378" s="3">
        <f>$B$6</f>
        <v>0.1</v>
      </c>
      <c r="C378" s="3">
        <f t="shared" ref="C378:C379" si="79">U362</f>
        <v>0.29993012849955791</v>
      </c>
      <c r="D378" s="3"/>
      <c r="E378" s="3"/>
      <c r="F378" s="3"/>
      <c r="G378" s="3">
        <f t="shared" si="75"/>
        <v>0.29636285738786849</v>
      </c>
      <c r="H378" s="3"/>
      <c r="I378" s="3"/>
      <c r="J378" s="3"/>
      <c r="K378" s="3"/>
      <c r="L378" s="3"/>
      <c r="M378" s="3"/>
      <c r="T378" s="3">
        <f t="shared" si="76"/>
        <v>0.2</v>
      </c>
      <c r="U378" s="3">
        <f t="shared" si="77"/>
        <v>0.29992815828641706</v>
      </c>
      <c r="V378" s="3"/>
      <c r="W378" s="3"/>
      <c r="X378" s="3"/>
      <c r="Y378" s="3">
        <f t="shared" si="78"/>
        <v>0.29611082892035195</v>
      </c>
      <c r="Z378" s="3"/>
      <c r="AA378" s="3"/>
      <c r="AB378" s="3"/>
      <c r="AC378" s="3"/>
      <c r="AD378" s="3"/>
      <c r="AE378" s="3"/>
    </row>
    <row r="379" spans="2:31" x14ac:dyDescent="0.3">
      <c r="B379" s="3">
        <f>$B$7</f>
        <v>0.1</v>
      </c>
      <c r="C379" s="3">
        <f t="shared" si="79"/>
        <v>0.39993012849955795</v>
      </c>
      <c r="D379" s="3"/>
      <c r="E379" s="3"/>
      <c r="F379" s="3"/>
      <c r="G379" s="3">
        <f t="shared" si="75"/>
        <v>0.39627983210184992</v>
      </c>
      <c r="H379" s="3"/>
      <c r="I379" s="3"/>
      <c r="J379" s="3"/>
      <c r="K379" s="3"/>
      <c r="L379" s="3"/>
      <c r="M379" s="3"/>
      <c r="T379" s="3">
        <f t="shared" si="76"/>
        <v>0.2</v>
      </c>
      <c r="U379" s="3">
        <f t="shared" si="77"/>
        <v>0.39992815828641709</v>
      </c>
      <c r="V379" s="3"/>
      <c r="W379" s="3"/>
      <c r="X379" s="3"/>
      <c r="Y379" s="3">
        <f t="shared" si="78"/>
        <v>0.39602284114348285</v>
      </c>
      <c r="Z379" s="3"/>
      <c r="AA379" s="3"/>
      <c r="AB379" s="3"/>
      <c r="AC379" s="3"/>
      <c r="AD379" s="3"/>
      <c r="AE379" s="3"/>
    </row>
    <row r="380" spans="2:31" x14ac:dyDescent="0.3">
      <c r="B380" s="3">
        <f>$B$8</f>
        <v>0.1</v>
      </c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T380" s="3">
        <f t="shared" si="76"/>
        <v>0.2</v>
      </c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 spans="2:31" x14ac:dyDescent="0.3">
      <c r="B381" s="3">
        <f>$B$9</f>
        <v>0.1</v>
      </c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T381" s="3">
        <f t="shared" si="76"/>
        <v>0.2</v>
      </c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 spans="2:31" x14ac:dyDescent="0.3">
      <c r="B382" s="3">
        <f>$B$10</f>
        <v>0.1</v>
      </c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T382" s="3">
        <f t="shared" si="76"/>
        <v>0.2</v>
      </c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 spans="2:31" x14ac:dyDescent="0.3">
      <c r="B383" s="3">
        <f>$B$11</f>
        <v>0.1</v>
      </c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T383" s="3">
        <f t="shared" si="76"/>
        <v>0.2</v>
      </c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5" spans="1:31" x14ac:dyDescent="0.3">
      <c r="A385" s="4" t="s">
        <v>7</v>
      </c>
      <c r="B385" s="5">
        <f>E376 * (1 - E376) * (G376 * F385 + G378 * F386)</f>
        <v>-2.1960586976533161E-4</v>
      </c>
      <c r="C385" s="6"/>
      <c r="D385" s="6"/>
      <c r="E385" s="7"/>
      <c r="F385" s="5">
        <f>I376 * (1 - I376) * K376 *J385</f>
        <v>5.8562015797814166E-3</v>
      </c>
      <c r="G385" s="6"/>
      <c r="H385" s="6"/>
      <c r="I385" s="7"/>
      <c r="J385" s="5">
        <f>$P$18 - M376</f>
        <v>-9.835762916758084E-2</v>
      </c>
      <c r="K385" s="6"/>
      <c r="L385" s="6"/>
      <c r="M385" s="7"/>
      <c r="S385" s="4" t="s">
        <v>7</v>
      </c>
      <c r="T385" s="5">
        <f>W376 * (1 - W376) * (Y376 * X385 + Y378 * X386)</f>
        <v>9.2981800237706791E-6</v>
      </c>
      <c r="U385" s="6"/>
      <c r="V385" s="6"/>
      <c r="W385" s="7"/>
      <c r="X385" s="5">
        <f>AA376 * (1 - AA376) * AC376 *AB385</f>
        <v>-2.889545880914081E-4</v>
      </c>
      <c r="Y385" s="6"/>
      <c r="Z385" s="6"/>
      <c r="AA385" s="7"/>
      <c r="AB385" s="5">
        <f>$P$19 - AE376</f>
        <v>4.4602631061056441E-3</v>
      </c>
      <c r="AC385" s="6"/>
      <c r="AD385" s="6"/>
      <c r="AE385" s="7"/>
    </row>
    <row r="386" spans="1:31" x14ac:dyDescent="0.3">
      <c r="B386" s="5">
        <f>E377 * (1 - E377) * (G377 * F385 + G379 * F386)</f>
        <v>-1.9702131408624548E-4</v>
      </c>
      <c r="C386" s="6"/>
      <c r="D386" s="6"/>
      <c r="E386" s="7"/>
      <c r="F386" s="5">
        <f>J377 * (1 - J377) * K377 * J385</f>
        <v>-4.9661108822042074E-3</v>
      </c>
      <c r="G386" s="6"/>
      <c r="H386" s="6"/>
      <c r="I386" s="7"/>
      <c r="T386" s="5">
        <f>W377 * (1 - W377) * (Y377 * X385 + Y379 * X386)</f>
        <v>7.6590237960202053E-6</v>
      </c>
      <c r="U386" s="6"/>
      <c r="V386" s="6"/>
      <c r="W386" s="7"/>
      <c r="X386" s="5">
        <f>AB377 * (1 - AB377) * AC377 * AB385</f>
        <v>2.2484500147907884E-4</v>
      </c>
      <c r="Y386" s="6"/>
      <c r="Z386" s="6"/>
      <c r="AA386" s="7"/>
    </row>
    <row r="388" spans="1:31" x14ac:dyDescent="0.3">
      <c r="B388" s="8" t="s">
        <v>4</v>
      </c>
      <c r="C388" s="8"/>
      <c r="D388" s="8"/>
      <c r="E388" s="8"/>
      <c r="F388" s="8" t="s">
        <v>5</v>
      </c>
      <c r="G388" s="8"/>
      <c r="H388" s="8"/>
      <c r="I388" s="8"/>
      <c r="J388" s="8" t="s">
        <v>6</v>
      </c>
      <c r="K388" s="8"/>
      <c r="L388" s="8"/>
      <c r="M388" s="8"/>
      <c r="T388" s="9" t="s">
        <v>4</v>
      </c>
      <c r="U388" s="10"/>
      <c r="V388" s="10"/>
      <c r="W388" s="11"/>
      <c r="X388" s="9" t="s">
        <v>5</v>
      </c>
      <c r="Y388" s="10"/>
      <c r="Z388" s="10"/>
      <c r="AA388" s="11"/>
      <c r="AB388" s="9" t="s">
        <v>6</v>
      </c>
      <c r="AC388" s="10"/>
      <c r="AD388" s="10"/>
      <c r="AE388" s="11"/>
    </row>
    <row r="389" spans="1:31" x14ac:dyDescent="0.3"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T389" s="12"/>
      <c r="U389" s="13"/>
      <c r="V389" s="13"/>
      <c r="W389" s="14"/>
      <c r="X389" s="12"/>
      <c r="Y389" s="13"/>
      <c r="Z389" s="13"/>
      <c r="AA389" s="14"/>
      <c r="AB389" s="12"/>
      <c r="AC389" s="13"/>
      <c r="AD389" s="13"/>
      <c r="AE389" s="14"/>
    </row>
    <row r="390" spans="1:31" x14ac:dyDescent="0.3">
      <c r="B390" s="3" t="s">
        <v>0</v>
      </c>
      <c r="C390" s="3" t="s">
        <v>1</v>
      </c>
      <c r="D390" s="3" t="s">
        <v>2</v>
      </c>
      <c r="E390" s="3" t="s">
        <v>3</v>
      </c>
      <c r="F390" s="3" t="s">
        <v>0</v>
      </c>
      <c r="G390" s="3" t="s">
        <v>1</v>
      </c>
      <c r="H390" s="3" t="s">
        <v>2</v>
      </c>
      <c r="I390" s="3" t="s">
        <v>3</v>
      </c>
      <c r="J390" s="3" t="s">
        <v>0</v>
      </c>
      <c r="K390" s="3" t="s">
        <v>1</v>
      </c>
      <c r="L390" s="3" t="s">
        <v>2</v>
      </c>
      <c r="M390" s="3" t="s">
        <v>3</v>
      </c>
      <c r="T390" s="3">
        <f>$O$19</f>
        <v>0.2</v>
      </c>
      <c r="U390" s="3" t="s">
        <v>1</v>
      </c>
      <c r="V390" s="3" t="s">
        <v>2</v>
      </c>
      <c r="W390" s="3" t="s">
        <v>3</v>
      </c>
      <c r="X390" s="3" t="s">
        <v>0</v>
      </c>
      <c r="Y390" s="3" t="s">
        <v>1</v>
      </c>
      <c r="Z390" s="3" t="s">
        <v>2</v>
      </c>
      <c r="AA390" s="3" t="s">
        <v>3</v>
      </c>
      <c r="AB390" s="3" t="s">
        <v>0</v>
      </c>
      <c r="AC390" s="3" t="s">
        <v>1</v>
      </c>
      <c r="AD390" s="3" t="s">
        <v>2</v>
      </c>
      <c r="AE390" s="3" t="s">
        <v>3</v>
      </c>
    </row>
    <row r="391" spans="1:31" x14ac:dyDescent="0.3">
      <c r="B391" s="3">
        <f>$B$4</f>
        <v>0.1</v>
      </c>
      <c r="C391" s="3">
        <f>C376 + $O$7 * B376 * B385</f>
        <v>9.9942197158889204E-2</v>
      </c>
      <c r="D391" s="3">
        <f>B391*C391+B392*C392</f>
        <v>2.9988439431777841E-2</v>
      </c>
      <c r="E391" s="3">
        <f>1/(1+EXP(-D391))</f>
        <v>0.50749654805849886</v>
      </c>
      <c r="F391" s="3">
        <f>E391</f>
        <v>0.50749654805849886</v>
      </c>
      <c r="G391" s="3">
        <f>G376 + $O$7 * F376 * F385</f>
        <v>0.10158295870185376</v>
      </c>
      <c r="H391" s="3">
        <f>F391*G391+F392*G392</f>
        <v>0.15588620863802408</v>
      </c>
      <c r="I391" s="3">
        <f>1/(1+EXP(-H391))</f>
        <v>0.53889282441684772</v>
      </c>
      <c r="J391" s="3">
        <f>I391</f>
        <v>0.53889282441684772</v>
      </c>
      <c r="K391" s="3">
        <f>K376 + $P$18 * J376 * J385</f>
        <v>-0.26080226053054811</v>
      </c>
      <c r="L391" s="3">
        <f>J391*K391+J392*K392</f>
        <v>-1.8024816093273707E-2</v>
      </c>
      <c r="M391" s="3">
        <f>1/(1+EXP(-L391))</f>
        <v>0.49549391797593695</v>
      </c>
      <c r="T391" s="3">
        <f t="shared" ref="T391:T397" si="80">$O$19</f>
        <v>0.2</v>
      </c>
      <c r="U391" s="3">
        <f>U376 + $O$7 * T376 * T385</f>
        <v>9.9942383122489681E-2</v>
      </c>
      <c r="V391" s="3">
        <f>T391*U391+T392*U392</f>
        <v>5.9976953248995865E-2</v>
      </c>
      <c r="W391" s="3">
        <f>1/(1+EXP(-V391))</f>
        <v>0.51498974511207918</v>
      </c>
      <c r="X391" s="3">
        <f>W391</f>
        <v>0.51498974511207918</v>
      </c>
      <c r="Y391" s="3">
        <f>Y376 + $O$7 * X376 * X385</f>
        <v>0.10156807783742361</v>
      </c>
      <c r="Z391" s="3">
        <f>X391*Y391+X392*Y392</f>
        <v>0.16014892888942528</v>
      </c>
      <c r="AA391" s="3">
        <f>1/(1+EXP(-Z391))</f>
        <v>0.5399518792847291</v>
      </c>
      <c r="AB391" s="3">
        <f>AA391</f>
        <v>0.5399518792847291</v>
      </c>
      <c r="AC391" s="3">
        <f>AC376 +  $P$19 * AB376 * AB385</f>
        <v>-0.25959808798421558</v>
      </c>
      <c r="AD391" s="3">
        <f>AB391*AC391+AB392*AC392</f>
        <v>-1.7189673090536275E-2</v>
      </c>
      <c r="AE391" s="3">
        <f>1/(1+EXP(-AD391))</f>
        <v>0.49570268754274266</v>
      </c>
    </row>
    <row r="392" spans="1:31" x14ac:dyDescent="0.3">
      <c r="B392" s="3">
        <f>$B$5</f>
        <v>0.1</v>
      </c>
      <c r="C392" s="3">
        <f>C377 + $O$7 * B377 * B385</f>
        <v>0.19994219715888917</v>
      </c>
      <c r="D392" s="3">
        <f>B391*C393+B392*C394</f>
        <v>6.9985631657283415E-2</v>
      </c>
      <c r="E392" s="3">
        <f>1/(1+EXP(-D392))</f>
        <v>0.51748926997652278</v>
      </c>
      <c r="F392" s="3">
        <f>E392</f>
        <v>0.51748926997652278</v>
      </c>
      <c r="G392" s="3">
        <f>G377 + $O$7 * F377 * F385</f>
        <v>0.20161424363445757</v>
      </c>
      <c r="H392" s="3">
        <f>F391*G393+F392*G394</f>
        <v>0.35521279447718873</v>
      </c>
      <c r="I392" s="3">
        <f>1/(1+EXP(-H392))</f>
        <v>0.58788109463552896</v>
      </c>
      <c r="J392" s="3">
        <f>I392</f>
        <v>0.58788109463552896</v>
      </c>
      <c r="K392" s="3">
        <f>K377 + $P$18 * J377 * J386</f>
        <v>0.20840889733712384</v>
      </c>
      <c r="L392" s="3"/>
      <c r="M392" s="3"/>
      <c r="T392" s="3">
        <f t="shared" si="80"/>
        <v>0.2</v>
      </c>
      <c r="U392" s="3">
        <f>U377 + $O$7 * T377 * T385</f>
        <v>0.19994238312248963</v>
      </c>
      <c r="V392" s="3">
        <f>T391*U393+T392*U394</f>
        <v>0.13997132458675721</v>
      </c>
      <c r="W392" s="3">
        <f>1/(1+EXP(-V392))</f>
        <v>0.53493581131070567</v>
      </c>
      <c r="X392" s="3">
        <f>W392</f>
        <v>0.53493581131070567</v>
      </c>
      <c r="Y392" s="3">
        <f>Y377 + $O$7 * X377 * X385</f>
        <v>0.20159878641919676</v>
      </c>
      <c r="Z392" s="3">
        <f>X391*Y393+X392*Y394</f>
        <v>0.36435323743080988</v>
      </c>
      <c r="AA392" s="3">
        <f>1/(1+EXP(-Z392))</f>
        <v>0.59009382011329714</v>
      </c>
      <c r="AB392" s="3">
        <f>AA392</f>
        <v>0.59009382011329714</v>
      </c>
      <c r="AC392" s="3">
        <f>AC377 +  $P$19 * AB377 * AB386</f>
        <v>0.20840889733712384</v>
      </c>
      <c r="AD392" s="3"/>
      <c r="AE392" s="3"/>
    </row>
    <row r="393" spans="1:31" x14ac:dyDescent="0.3">
      <c r="B393" s="3">
        <f>$B$6</f>
        <v>0.1</v>
      </c>
      <c r="C393" s="3">
        <f>C378 + $O$7 * B376 * B386</f>
        <v>0.29992815828641706</v>
      </c>
      <c r="D393" s="3"/>
      <c r="E393" s="3"/>
      <c r="F393" s="3"/>
      <c r="G393" s="3">
        <f>G378 + $O$7 * F376 * F386</f>
        <v>0.29611082892035195</v>
      </c>
      <c r="H393" s="3"/>
      <c r="I393" s="3"/>
      <c r="J393" s="3"/>
      <c r="K393" s="3"/>
      <c r="L393" s="3"/>
      <c r="M393" s="3"/>
      <c r="T393" s="3">
        <f t="shared" si="80"/>
        <v>0.2</v>
      </c>
      <c r="U393" s="3">
        <f>U378 + $O$7 * T376 * T386</f>
        <v>0.29992831146689297</v>
      </c>
      <c r="V393" s="3"/>
      <c r="W393" s="3"/>
      <c r="X393" s="3"/>
      <c r="Y393" s="3">
        <f>Y378 + $O$7 * X376 * X386</f>
        <v>0.29612240820693436</v>
      </c>
      <c r="Z393" s="3"/>
      <c r="AA393" s="3"/>
      <c r="AB393" s="3"/>
      <c r="AC393" s="3"/>
      <c r="AD393" s="3"/>
      <c r="AE393" s="3"/>
    </row>
    <row r="394" spans="1:31" x14ac:dyDescent="0.3">
      <c r="B394" s="3">
        <f>$B$7</f>
        <v>0.1</v>
      </c>
      <c r="C394" s="3">
        <f>C379 + $O$7 * B377* B386</f>
        <v>0.39992815828641709</v>
      </c>
      <c r="D394" s="3"/>
      <c r="E394" s="3"/>
      <c r="F394" s="3"/>
      <c r="G394" s="3">
        <f>G379 + $O$7 * F377* F386</f>
        <v>0.39602284114348285</v>
      </c>
      <c r="H394" s="3"/>
      <c r="I394" s="3"/>
      <c r="J394" s="3"/>
      <c r="K394" s="3"/>
      <c r="L394" s="3"/>
      <c r="M394" s="3"/>
      <c r="T394" s="3">
        <f t="shared" si="80"/>
        <v>0.2</v>
      </c>
      <c r="U394" s="3">
        <f>U379 + $O$7 * T377* T386</f>
        <v>0.39992831146689301</v>
      </c>
      <c r="V394" s="3"/>
      <c r="W394" s="3"/>
      <c r="X394" s="3"/>
      <c r="Y394" s="3">
        <f>Y379 + $O$7 * X377* X386</f>
        <v>0.39603486890746864</v>
      </c>
      <c r="Z394" s="3"/>
      <c r="AA394" s="3"/>
      <c r="AB394" s="3"/>
      <c r="AC394" s="3"/>
      <c r="AD394" s="3"/>
      <c r="AE394" s="3"/>
    </row>
    <row r="395" spans="1:31" x14ac:dyDescent="0.3">
      <c r="B395" s="3">
        <f>$B$8</f>
        <v>0.1</v>
      </c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T395" s="3">
        <f t="shared" si="80"/>
        <v>0.2</v>
      </c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 spans="1:31" x14ac:dyDescent="0.3">
      <c r="B396" s="3">
        <f>$B$9</f>
        <v>0.1</v>
      </c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T396" s="3">
        <f t="shared" si="80"/>
        <v>0.2</v>
      </c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 spans="1:31" x14ac:dyDescent="0.3">
      <c r="B397" s="3">
        <f>$B$10</f>
        <v>0.1</v>
      </c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T397" s="3">
        <f t="shared" si="80"/>
        <v>0.2</v>
      </c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 spans="1:31" x14ac:dyDescent="0.3">
      <c r="B398" s="3">
        <f>$B$11</f>
        <v>0.1</v>
      </c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T398" s="3">
        <f>$B$11</f>
        <v>0.1</v>
      </c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404" spans="1:31" x14ac:dyDescent="0.3">
      <c r="B404" s="8" t="s">
        <v>4</v>
      </c>
      <c r="C404" s="8"/>
      <c r="D404" s="8"/>
      <c r="E404" s="8"/>
      <c r="F404" s="8" t="s">
        <v>5</v>
      </c>
      <c r="G404" s="8"/>
      <c r="H404" s="8"/>
      <c r="I404" s="8"/>
      <c r="J404" s="8" t="s">
        <v>6</v>
      </c>
      <c r="K404" s="8"/>
      <c r="L404" s="8"/>
      <c r="M404" s="8"/>
      <c r="T404" s="9" t="s">
        <v>4</v>
      </c>
      <c r="U404" s="10"/>
      <c r="V404" s="10"/>
      <c r="W404" s="11"/>
      <c r="X404" s="9" t="s">
        <v>5</v>
      </c>
      <c r="Y404" s="10"/>
      <c r="Z404" s="10"/>
      <c r="AA404" s="11"/>
      <c r="AB404" s="9" t="s">
        <v>6</v>
      </c>
      <c r="AC404" s="10"/>
      <c r="AD404" s="10"/>
      <c r="AE404" s="11"/>
    </row>
    <row r="405" spans="1:31" x14ac:dyDescent="0.3"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T405" s="12"/>
      <c r="U405" s="13"/>
      <c r="V405" s="13"/>
      <c r="W405" s="14"/>
      <c r="X405" s="12"/>
      <c r="Y405" s="13"/>
      <c r="Z405" s="13"/>
      <c r="AA405" s="14"/>
      <c r="AB405" s="12"/>
      <c r="AC405" s="13"/>
      <c r="AD405" s="13"/>
      <c r="AE405" s="14"/>
    </row>
    <row r="406" spans="1:31" x14ac:dyDescent="0.3">
      <c r="B406" s="3" t="s">
        <v>0</v>
      </c>
      <c r="C406" s="3" t="s">
        <v>1</v>
      </c>
      <c r="D406" s="3" t="s">
        <v>2</v>
      </c>
      <c r="E406" s="3" t="s">
        <v>3</v>
      </c>
      <c r="F406" s="3" t="s">
        <v>0</v>
      </c>
      <c r="G406" s="3" t="s">
        <v>1</v>
      </c>
      <c r="H406" s="3" t="s">
        <v>2</v>
      </c>
      <c r="I406" s="3" t="s">
        <v>3</v>
      </c>
      <c r="J406" s="3" t="s">
        <v>0</v>
      </c>
      <c r="K406" s="3" t="s">
        <v>1</v>
      </c>
      <c r="L406" s="3" t="s">
        <v>2</v>
      </c>
      <c r="M406" s="3" t="s">
        <v>3</v>
      </c>
      <c r="T406" s="3" t="s">
        <v>0</v>
      </c>
      <c r="U406" s="3" t="s">
        <v>1</v>
      </c>
      <c r="V406" s="3" t="s">
        <v>2</v>
      </c>
      <c r="W406" s="3" t="s">
        <v>3</v>
      </c>
      <c r="X406" s="3" t="s">
        <v>0</v>
      </c>
      <c r="Y406" s="3" t="s">
        <v>1</v>
      </c>
      <c r="Z406" s="3" t="s">
        <v>2</v>
      </c>
      <c r="AA406" s="3" t="s">
        <v>3</v>
      </c>
      <c r="AB406" s="3" t="s">
        <v>0</v>
      </c>
      <c r="AC406" s="3" t="s">
        <v>1</v>
      </c>
      <c r="AD406" s="3" t="s">
        <v>2</v>
      </c>
      <c r="AE406" s="3" t="s">
        <v>3</v>
      </c>
    </row>
    <row r="407" spans="1:31" x14ac:dyDescent="0.3">
      <c r="B407" s="3">
        <f>$B$4</f>
        <v>0.1</v>
      </c>
      <c r="C407" s="3">
        <f>U391</f>
        <v>9.9942383122489681E-2</v>
      </c>
      <c r="D407" s="3">
        <f>B407*C407+B408*C408</f>
        <v>2.9988476624497933E-2</v>
      </c>
      <c r="E407" s="3">
        <f>1/(1+EXP(-D407))</f>
        <v>0.50749655735458865</v>
      </c>
      <c r="F407" s="3">
        <f>E407</f>
        <v>0.50749655735458865</v>
      </c>
      <c r="G407" s="3">
        <f>Y391</f>
        <v>0.10156807783742361</v>
      </c>
      <c r="H407" s="3">
        <f>F407*G407+F408*G408</f>
        <v>0.1558706601939992</v>
      </c>
      <c r="I407" s="3">
        <f>1/(1+EXP(-H407))</f>
        <v>0.53888896082288695</v>
      </c>
      <c r="J407" s="3">
        <f>I407</f>
        <v>0.53888896082288695</v>
      </c>
      <c r="K407" s="3">
        <f>AC391</f>
        <v>-0.25959808798421558</v>
      </c>
      <c r="L407" s="3">
        <f>J407*K407+J408*K408</f>
        <v>-1.737428187986105E-2</v>
      </c>
      <c r="M407" s="3">
        <f>1/(1+EXP(-L407))</f>
        <v>0.49565653879130434</v>
      </c>
      <c r="T407" s="3">
        <f>$O$19</f>
        <v>0.2</v>
      </c>
      <c r="U407" s="3">
        <f>C422</f>
        <v>9.9940374754741865E-2</v>
      </c>
      <c r="V407" s="3">
        <f>T407*U407+T408*U408</f>
        <v>5.997614990189673E-2</v>
      </c>
      <c r="W407" s="3">
        <f>1/(1+EXP(-V407))</f>
        <v>0.51498954445580791</v>
      </c>
      <c r="X407" s="3">
        <f>W407</f>
        <v>0.51498954445580791</v>
      </c>
      <c r="Y407" s="3">
        <f>G422</f>
        <v>0.10188122902212571</v>
      </c>
      <c r="Z407" s="3">
        <f>X407*Y407+X408*Y408</f>
        <v>0.16048095874351023</v>
      </c>
      <c r="AA407" s="3">
        <f>1/(1+EXP(-Z407))</f>
        <v>0.54003435568309111</v>
      </c>
      <c r="AB407" s="3">
        <f>AA407</f>
        <v>0.54003435568309111</v>
      </c>
      <c r="AC407" s="3">
        <f>K422</f>
        <v>-0.28021738909827965</v>
      </c>
      <c r="AD407" s="3">
        <f>AB407*AC407+AB408*AC408</f>
        <v>-2.8359325013156453E-2</v>
      </c>
      <c r="AE407" s="3">
        <f>1/(1+EXP(-AD407))</f>
        <v>0.49291064387567446</v>
      </c>
    </row>
    <row r="408" spans="1:31" x14ac:dyDescent="0.3">
      <c r="B408" s="3">
        <f>$B$5</f>
        <v>0.1</v>
      </c>
      <c r="C408" s="3">
        <f>U392</f>
        <v>0.19994238312248963</v>
      </c>
      <c r="D408" s="3">
        <f>B407*C409+B408*C410</f>
        <v>6.9985662293378603E-2</v>
      </c>
      <c r="E408" s="3">
        <f>1/(1+EXP(-D408))</f>
        <v>0.5174892776261758</v>
      </c>
      <c r="F408" s="3">
        <f>E408</f>
        <v>0.5174892776261758</v>
      </c>
      <c r="G408" s="3">
        <f t="shared" ref="G408:G410" si="81">Y392</f>
        <v>0.20159878641919676</v>
      </c>
      <c r="H408" s="3">
        <f>F407*G409+F408*G410</f>
        <v>0.35522490094627257</v>
      </c>
      <c r="I408" s="3">
        <f>1/(1+EXP(-H408))</f>
        <v>0.58788402775036774</v>
      </c>
      <c r="J408" s="3">
        <f>I408</f>
        <v>0.58788402775036774</v>
      </c>
      <c r="K408" s="3">
        <f>AC392</f>
        <v>0.20840889733712384</v>
      </c>
      <c r="L408" s="3"/>
      <c r="M408" s="3"/>
      <c r="T408" s="3">
        <f t="shared" ref="T408:T414" si="82">$O$19</f>
        <v>0.2</v>
      </c>
      <c r="U408" s="3">
        <f t="shared" ref="U408:U410" si="83">C423</f>
        <v>0.1999403747547418</v>
      </c>
      <c r="V408" s="3">
        <f>T407*U409+T408*U410</f>
        <v>0.1399706565462086</v>
      </c>
      <c r="W408" s="3">
        <f>1/(1+EXP(-V408))</f>
        <v>0.53493564511591551</v>
      </c>
      <c r="X408" s="3">
        <f>W408</f>
        <v>0.53493564511591551</v>
      </c>
      <c r="Y408" s="3">
        <f t="shared" ref="Y408:Y410" si="84">G423</f>
        <v>0.20191810362048773</v>
      </c>
      <c r="Z408" s="3">
        <f>X407*Y409+X408*Y410</f>
        <v>0.36409317484873871</v>
      </c>
      <c r="AA408" s="3">
        <f>1/(1+EXP(-Z408))</f>
        <v>0.59003091389528128</v>
      </c>
      <c r="AB408" s="3">
        <f>AA408</f>
        <v>0.59003091389528128</v>
      </c>
      <c r="AC408" s="3">
        <f>K423</f>
        <v>0.20840889733712384</v>
      </c>
      <c r="AD408" s="3"/>
      <c r="AE408" s="3"/>
    </row>
    <row r="409" spans="1:31" x14ac:dyDescent="0.3">
      <c r="B409" s="3">
        <f>$B$6</f>
        <v>0.1</v>
      </c>
      <c r="C409" s="3">
        <f t="shared" ref="C409:C410" si="85">U393</f>
        <v>0.29992831146689297</v>
      </c>
      <c r="D409" s="3"/>
      <c r="E409" s="3"/>
      <c r="F409" s="3"/>
      <c r="G409" s="3">
        <f t="shared" si="81"/>
        <v>0.29612240820693436</v>
      </c>
      <c r="H409" s="3"/>
      <c r="I409" s="3"/>
      <c r="J409" s="3"/>
      <c r="K409" s="3"/>
      <c r="L409" s="3"/>
      <c r="M409" s="3"/>
      <c r="T409" s="3">
        <f t="shared" si="82"/>
        <v>0.2</v>
      </c>
      <c r="U409" s="3">
        <f t="shared" si="83"/>
        <v>0.29992664136552144</v>
      </c>
      <c r="V409" s="3"/>
      <c r="W409" s="3"/>
      <c r="X409" s="3"/>
      <c r="Y409" s="3">
        <f t="shared" si="84"/>
        <v>0.29587729025095888</v>
      </c>
      <c r="Z409" s="3"/>
      <c r="AA409" s="3"/>
      <c r="AB409" s="3"/>
      <c r="AC409" s="3"/>
      <c r="AD409" s="3"/>
      <c r="AE409" s="3"/>
    </row>
    <row r="410" spans="1:31" x14ac:dyDescent="0.3">
      <c r="B410" s="3">
        <f>$B$7</f>
        <v>0.1</v>
      </c>
      <c r="C410" s="3">
        <f t="shared" si="85"/>
        <v>0.39992831146689301</v>
      </c>
      <c r="D410" s="3"/>
      <c r="E410" s="3"/>
      <c r="F410" s="3"/>
      <c r="G410" s="3">
        <f t="shared" si="81"/>
        <v>0.39603486890746864</v>
      </c>
      <c r="H410" s="3"/>
      <c r="I410" s="3"/>
      <c r="J410" s="3"/>
      <c r="K410" s="3"/>
      <c r="L410" s="3"/>
      <c r="M410" s="3"/>
      <c r="T410" s="3">
        <f t="shared" si="82"/>
        <v>0.2</v>
      </c>
      <c r="U410" s="3">
        <f t="shared" si="83"/>
        <v>0.39992664136552147</v>
      </c>
      <c r="V410" s="3"/>
      <c r="W410" s="3"/>
      <c r="X410" s="3"/>
      <c r="Y410" s="3">
        <f t="shared" si="84"/>
        <v>0.395784924524334</v>
      </c>
      <c r="Z410" s="3"/>
      <c r="AA410" s="3"/>
      <c r="AB410" s="3"/>
      <c r="AC410" s="3"/>
      <c r="AD410" s="3"/>
      <c r="AE410" s="3"/>
    </row>
    <row r="411" spans="1:31" x14ac:dyDescent="0.3">
      <c r="B411" s="3">
        <f>$B$8</f>
        <v>0.1</v>
      </c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T411" s="3">
        <f t="shared" si="82"/>
        <v>0.2</v>
      </c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 spans="1:31" x14ac:dyDescent="0.3">
      <c r="B412" s="3">
        <f>$B$9</f>
        <v>0.1</v>
      </c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T412" s="3">
        <f t="shared" si="82"/>
        <v>0.2</v>
      </c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 spans="1:31" x14ac:dyDescent="0.3">
      <c r="B413" s="3">
        <f>$B$10</f>
        <v>0.1</v>
      </c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T413" s="3">
        <f t="shared" si="82"/>
        <v>0.2</v>
      </c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 spans="1:31" x14ac:dyDescent="0.3">
      <c r="B414" s="3">
        <f>$B$11</f>
        <v>0.1</v>
      </c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T414" s="3">
        <f t="shared" si="82"/>
        <v>0.2</v>
      </c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6" spans="1:31" x14ac:dyDescent="0.3">
      <c r="A416" s="4" t="s">
        <v>7</v>
      </c>
      <c r="B416" s="5">
        <f>E407 * (1 - E407) * (G407 * F416 + G409 * F417)</f>
        <v>-2.0083677478185656E-4</v>
      </c>
      <c r="C416" s="6"/>
      <c r="D416" s="6"/>
      <c r="E416" s="7"/>
      <c r="F416" s="5">
        <f>I407 * (1 - I407) * K407 *J416</f>
        <v>6.170508551515126E-3</v>
      </c>
      <c r="G416" s="6"/>
      <c r="H416" s="6"/>
      <c r="I416" s="7"/>
      <c r="J416" s="5">
        <f>$P$18 - M407</f>
        <v>-9.5656538791304313E-2</v>
      </c>
      <c r="K416" s="6"/>
      <c r="L416" s="6"/>
      <c r="M416" s="7"/>
      <c r="S416" s="4" t="s">
        <v>7</v>
      </c>
      <c r="T416" s="5">
        <f>W407 * (1 - W407) * (Y407 * X416 + Y409 * X417)</f>
        <v>1.3855347504264673E-5</v>
      </c>
      <c r="U416" s="6"/>
      <c r="V416" s="6"/>
      <c r="W416" s="7"/>
      <c r="X416" s="5">
        <f>AA407 * (1 - AA407) * AC407 *AB416</f>
        <v>-4.9345625618772519E-4</v>
      </c>
      <c r="Y416" s="6"/>
      <c r="Z416" s="6"/>
      <c r="AA416" s="7"/>
      <c r="AB416" s="5">
        <f>$P$19 - AE407</f>
        <v>7.089356124325541E-3</v>
      </c>
      <c r="AC416" s="6"/>
      <c r="AD416" s="6"/>
      <c r="AE416" s="7"/>
    </row>
    <row r="417" spans="2:31" x14ac:dyDescent="0.3">
      <c r="B417" s="5">
        <f>E408 * (1 - E408) * (G408 * F416 + G410 * F417)</f>
        <v>-1.6701013715512768E-4</v>
      </c>
      <c r="C417" s="6"/>
      <c r="D417" s="6"/>
      <c r="E417" s="7"/>
      <c r="F417" s="5">
        <f>J408 * (1 - J408) * K408 * J416</f>
        <v>-4.8299432266730412E-3</v>
      </c>
      <c r="G417" s="6"/>
      <c r="H417" s="6"/>
      <c r="I417" s="7"/>
      <c r="T417" s="5">
        <f>W408 * (1 - W408) * (Y408 * X416 + Y410 * X417)</f>
        <v>1.0402453386088363E-5</v>
      </c>
      <c r="U417" s="6"/>
      <c r="V417" s="6"/>
      <c r="W417" s="7"/>
      <c r="X417" s="5">
        <f>AB408 * (1 - AB408) * AC408 * AB416</f>
        <v>3.5739537266596898E-4</v>
      </c>
      <c r="Y417" s="6"/>
      <c r="Z417" s="6"/>
      <c r="AA417" s="7"/>
    </row>
    <row r="419" spans="2:31" x14ac:dyDescent="0.3">
      <c r="B419" s="8" t="s">
        <v>4</v>
      </c>
      <c r="C419" s="8"/>
      <c r="D419" s="8"/>
      <c r="E419" s="8"/>
      <c r="F419" s="8" t="s">
        <v>5</v>
      </c>
      <c r="G419" s="8"/>
      <c r="H419" s="8"/>
      <c r="I419" s="8"/>
      <c r="J419" s="8" t="s">
        <v>6</v>
      </c>
      <c r="K419" s="8"/>
      <c r="L419" s="8"/>
      <c r="M419" s="8"/>
      <c r="T419" s="9" t="s">
        <v>4</v>
      </c>
      <c r="U419" s="10"/>
      <c r="V419" s="10"/>
      <c r="W419" s="11"/>
      <c r="X419" s="9" t="s">
        <v>5</v>
      </c>
      <c r="Y419" s="10"/>
      <c r="Z419" s="10"/>
      <c r="AA419" s="11"/>
      <c r="AB419" s="9" t="s">
        <v>6</v>
      </c>
      <c r="AC419" s="10"/>
      <c r="AD419" s="10"/>
      <c r="AE419" s="11"/>
    </row>
    <row r="420" spans="2:31" x14ac:dyDescent="0.3"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T420" s="12"/>
      <c r="U420" s="13"/>
      <c r="V420" s="13"/>
      <c r="W420" s="14"/>
      <c r="X420" s="12"/>
      <c r="Y420" s="13"/>
      <c r="Z420" s="13"/>
      <c r="AA420" s="14"/>
      <c r="AB420" s="12"/>
      <c r="AC420" s="13"/>
      <c r="AD420" s="13"/>
      <c r="AE420" s="14"/>
    </row>
    <row r="421" spans="2:31" x14ac:dyDescent="0.3">
      <c r="B421" s="3" t="s">
        <v>0</v>
      </c>
      <c r="C421" s="3" t="s">
        <v>1</v>
      </c>
      <c r="D421" s="3" t="s">
        <v>2</v>
      </c>
      <c r="E421" s="3" t="s">
        <v>3</v>
      </c>
      <c r="F421" s="3" t="s">
        <v>0</v>
      </c>
      <c r="G421" s="3" t="s">
        <v>1</v>
      </c>
      <c r="H421" s="3" t="s">
        <v>2</v>
      </c>
      <c r="I421" s="3" t="s">
        <v>3</v>
      </c>
      <c r="J421" s="3" t="s">
        <v>0</v>
      </c>
      <c r="K421" s="3" t="s">
        <v>1</v>
      </c>
      <c r="L421" s="3" t="s">
        <v>2</v>
      </c>
      <c r="M421" s="3" t="s">
        <v>3</v>
      </c>
      <c r="T421" s="3">
        <f>$O$19</f>
        <v>0.2</v>
      </c>
      <c r="U421" s="3" t="s">
        <v>1</v>
      </c>
      <c r="V421" s="3" t="s">
        <v>2</v>
      </c>
      <c r="W421" s="3" t="s">
        <v>3</v>
      </c>
      <c r="X421" s="3" t="s">
        <v>0</v>
      </c>
      <c r="Y421" s="3" t="s">
        <v>1</v>
      </c>
      <c r="Z421" s="3" t="s">
        <v>2</v>
      </c>
      <c r="AA421" s="3" t="s">
        <v>3</v>
      </c>
      <c r="AB421" s="3" t="s">
        <v>0</v>
      </c>
      <c r="AC421" s="3" t="s">
        <v>1</v>
      </c>
      <c r="AD421" s="3" t="s">
        <v>2</v>
      </c>
      <c r="AE421" s="3" t="s">
        <v>3</v>
      </c>
    </row>
    <row r="422" spans="2:31" x14ac:dyDescent="0.3">
      <c r="B422" s="3">
        <f>$B$4</f>
        <v>0.1</v>
      </c>
      <c r="C422" s="3">
        <f>C407 + $O$7 * B407 * B416</f>
        <v>9.9940374754741865E-2</v>
      </c>
      <c r="D422" s="3">
        <f>B422*C422+B423*C423</f>
        <v>2.9988074950948365E-2</v>
      </c>
      <c r="E422" s="3">
        <f>1/(1+EXP(-D422))</f>
        <v>0.50749645695877443</v>
      </c>
      <c r="F422" s="3">
        <f>E422</f>
        <v>0.50749645695877443</v>
      </c>
      <c r="G422" s="3">
        <f>G407 + $O$7 * F407 * F416</f>
        <v>0.10188122902212571</v>
      </c>
      <c r="H422" s="3">
        <f>F422*G422+F423*G423</f>
        <v>0.15619479950099222</v>
      </c>
      <c r="I422" s="3">
        <f>1/(1+EXP(-H422))</f>
        <v>0.53896950442114855</v>
      </c>
      <c r="J422" s="3">
        <f>I422</f>
        <v>0.53896950442114855</v>
      </c>
      <c r="K422" s="3">
        <f>K407 + $P$18 * J407 * J416</f>
        <v>-0.28021738909827965</v>
      </c>
      <c r="L422" s="3">
        <f>J422*K422+J423*K423</f>
        <v>-2.852118078358884E-2</v>
      </c>
      <c r="M422" s="3">
        <f>1/(1+EXP(-L422))</f>
        <v>0.49287018811428013</v>
      </c>
      <c r="T422" s="3">
        <f t="shared" ref="T422:T428" si="86">$O$19</f>
        <v>0.2</v>
      </c>
      <c r="U422" s="3">
        <f>U407 + $O$7 * T407 * T416</f>
        <v>9.9940651861691945E-2</v>
      </c>
      <c r="V422" s="3">
        <f>T422*U422+T423*U423</f>
        <v>5.9976260744676768E-2</v>
      </c>
      <c r="W422" s="3">
        <f>1/(1+EXP(-V422))</f>
        <v>0.51498957214159802</v>
      </c>
      <c r="X422" s="3">
        <f>W422</f>
        <v>0.51498957214159802</v>
      </c>
      <c r="Y422" s="3">
        <f>Y407 + $O$7 * X407 * X416</f>
        <v>0.10185581654086741</v>
      </c>
      <c r="Z422" s="3">
        <f>X422*Y422+X423*Y423</f>
        <v>0.16045375802718351</v>
      </c>
      <c r="AA422" s="3">
        <f>1/(1+EXP(-Z422))</f>
        <v>0.54002759909259035</v>
      </c>
      <c r="AB422" s="3">
        <f>AA422</f>
        <v>0.54002759909259035</v>
      </c>
      <c r="AC422" s="3">
        <f>AC407 +  $P$19 * AB407 * AB416</f>
        <v>-0.27830314116487559</v>
      </c>
      <c r="AD422" s="3">
        <f>AB422*AC422+AB423*AC423</f>
        <v>-2.732269073550446E-2</v>
      </c>
      <c r="AE422" s="3">
        <f>1/(1+EXP(-AD422))</f>
        <v>0.49316975222591808</v>
      </c>
    </row>
    <row r="423" spans="2:31" x14ac:dyDescent="0.3">
      <c r="B423" s="3">
        <f>$B$5</f>
        <v>0.1</v>
      </c>
      <c r="C423" s="3">
        <f>C408 + $O$7 * B408 * B416</f>
        <v>0.1999403747547418</v>
      </c>
      <c r="D423" s="3">
        <f>B422*C424+B423*C425</f>
        <v>6.9985328273104302E-2</v>
      </c>
      <c r="E423" s="3">
        <f>1/(1+EXP(-D423))</f>
        <v>0.51748919422327511</v>
      </c>
      <c r="F423" s="3">
        <f>E423</f>
        <v>0.51748919422327511</v>
      </c>
      <c r="G423" s="3">
        <f>G408 + $O$7 * F408 * F416</f>
        <v>0.20191810362048773</v>
      </c>
      <c r="H423" s="3">
        <f>F422*G424+F423*G425</f>
        <v>0.35497109817474193</v>
      </c>
      <c r="I423" s="3">
        <f>1/(1+EXP(-H423))</f>
        <v>0.58782253595790634</v>
      </c>
      <c r="J423" s="3">
        <f>I423</f>
        <v>0.58782253595790634</v>
      </c>
      <c r="K423" s="3">
        <f>K408 + $P$18 * J408 * J417</f>
        <v>0.20840889733712384</v>
      </c>
      <c r="L423" s="3"/>
      <c r="M423" s="3"/>
      <c r="T423" s="3">
        <f t="shared" si="86"/>
        <v>0.2</v>
      </c>
      <c r="U423" s="3">
        <f>U408 + $O$7 * T408 * T416</f>
        <v>0.19994065186169188</v>
      </c>
      <c r="V423" s="3">
        <f>T422*U424+T423*U425</f>
        <v>0.13997073976583568</v>
      </c>
      <c r="W423" s="3">
        <f>1/(1+EXP(-V423))</f>
        <v>0.53493566581925267</v>
      </c>
      <c r="X423" s="3">
        <f>W423</f>
        <v>0.53493566581925267</v>
      </c>
      <c r="Y423" s="3">
        <f>Y408 + $O$7 * X408 * X416</f>
        <v>0.2018917068864137</v>
      </c>
      <c r="Z423" s="3">
        <f>X422*Y424+X423*Y425</f>
        <v>0.36411289695738558</v>
      </c>
      <c r="AA423" s="3">
        <f>1/(1+EXP(-Z423))</f>
        <v>0.59003568455512945</v>
      </c>
      <c r="AB423" s="3">
        <f>AA423</f>
        <v>0.59003568455512945</v>
      </c>
      <c r="AC423" s="3">
        <f>AC408 +  $P$19 * AB408 * AB417</f>
        <v>0.20840889733712384</v>
      </c>
      <c r="AD423" s="3"/>
      <c r="AE423" s="3"/>
    </row>
    <row r="424" spans="2:31" x14ac:dyDescent="0.3">
      <c r="B424" s="3">
        <f>$B$6</f>
        <v>0.1</v>
      </c>
      <c r="C424" s="3">
        <f>C409 + $O$7 * B407 * B417</f>
        <v>0.29992664136552144</v>
      </c>
      <c r="D424" s="3"/>
      <c r="E424" s="3"/>
      <c r="F424" s="3"/>
      <c r="G424" s="3">
        <f>G409 + $O$7 * F407 * F417</f>
        <v>0.29587729025095888</v>
      </c>
      <c r="H424" s="3"/>
      <c r="I424" s="3"/>
      <c r="J424" s="3"/>
      <c r="K424" s="3"/>
      <c r="L424" s="3"/>
      <c r="M424" s="3"/>
      <c r="T424" s="3">
        <f t="shared" si="86"/>
        <v>0.2</v>
      </c>
      <c r="U424" s="3">
        <f>U409 + $O$7 * T407 * T417</f>
        <v>0.29992684941458914</v>
      </c>
      <c r="V424" s="3"/>
      <c r="W424" s="3"/>
      <c r="X424" s="3"/>
      <c r="Y424" s="3">
        <f>Y409 + $O$7 * X407 * X417</f>
        <v>0.29589569573897484</v>
      </c>
      <c r="Z424" s="3"/>
      <c r="AA424" s="3"/>
      <c r="AB424" s="3"/>
      <c r="AC424" s="3"/>
      <c r="AD424" s="3"/>
      <c r="AE424" s="3"/>
    </row>
    <row r="425" spans="2:31" x14ac:dyDescent="0.3">
      <c r="B425" s="3">
        <f>$B$7</f>
        <v>0.1</v>
      </c>
      <c r="C425" s="3">
        <f>C410 + $O$7 * B408* B417</f>
        <v>0.39992664136552147</v>
      </c>
      <c r="D425" s="3"/>
      <c r="E425" s="3"/>
      <c r="F425" s="3"/>
      <c r="G425" s="3">
        <f>G410 + $O$7 * F408* F417</f>
        <v>0.395784924524334</v>
      </c>
      <c r="H425" s="3"/>
      <c r="I425" s="3"/>
      <c r="J425" s="3"/>
      <c r="K425" s="3"/>
      <c r="L425" s="3"/>
      <c r="M425" s="3"/>
      <c r="T425" s="3">
        <f t="shared" si="86"/>
        <v>0.2</v>
      </c>
      <c r="U425" s="3">
        <f>U410 + $O$7 * T408* T417</f>
        <v>0.39992684941458917</v>
      </c>
      <c r="V425" s="3"/>
      <c r="W425" s="3"/>
      <c r="X425" s="3"/>
      <c r="Y425" s="3">
        <f>Y410 + $O$7 * X408* X417</f>
        <v>0.39580404287675786</v>
      </c>
      <c r="Z425" s="3"/>
      <c r="AA425" s="3"/>
      <c r="AB425" s="3"/>
      <c r="AC425" s="3"/>
      <c r="AD425" s="3"/>
      <c r="AE425" s="3"/>
    </row>
    <row r="426" spans="2:31" x14ac:dyDescent="0.3">
      <c r="B426" s="3">
        <f>$B$8</f>
        <v>0.1</v>
      </c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T426" s="3">
        <f t="shared" si="86"/>
        <v>0.2</v>
      </c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 spans="2:31" x14ac:dyDescent="0.3">
      <c r="B427" s="3">
        <f>$B$9</f>
        <v>0.1</v>
      </c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T427" s="3">
        <f t="shared" si="86"/>
        <v>0.2</v>
      </c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 spans="2:31" x14ac:dyDescent="0.3">
      <c r="B428" s="3">
        <f>$B$10</f>
        <v>0.1</v>
      </c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T428" s="3">
        <f t="shared" si="86"/>
        <v>0.2</v>
      </c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 spans="2:31" x14ac:dyDescent="0.3">
      <c r="B429" s="3">
        <f>$B$11</f>
        <v>0.1</v>
      </c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T429" s="3">
        <f>$B$11</f>
        <v>0.1</v>
      </c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5" spans="1:31" x14ac:dyDescent="0.3">
      <c r="B435" s="8" t="s">
        <v>4</v>
      </c>
      <c r="C435" s="8"/>
      <c r="D435" s="8"/>
      <c r="E435" s="8"/>
      <c r="F435" s="8" t="s">
        <v>5</v>
      </c>
      <c r="G435" s="8"/>
      <c r="H435" s="8"/>
      <c r="I435" s="8"/>
      <c r="J435" s="8" t="s">
        <v>6</v>
      </c>
      <c r="K435" s="8"/>
      <c r="L435" s="8"/>
      <c r="M435" s="8"/>
      <c r="T435" s="9" t="s">
        <v>4</v>
      </c>
      <c r="U435" s="10"/>
      <c r="V435" s="10"/>
      <c r="W435" s="11"/>
      <c r="X435" s="9" t="s">
        <v>5</v>
      </c>
      <c r="Y435" s="10"/>
      <c r="Z435" s="10"/>
      <c r="AA435" s="11"/>
      <c r="AB435" s="9" t="s">
        <v>6</v>
      </c>
      <c r="AC435" s="10"/>
      <c r="AD435" s="10"/>
      <c r="AE435" s="11"/>
    </row>
    <row r="436" spans="1:31" x14ac:dyDescent="0.3"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T436" s="12"/>
      <c r="U436" s="13"/>
      <c r="V436" s="13"/>
      <c r="W436" s="14"/>
      <c r="X436" s="12"/>
      <c r="Y436" s="13"/>
      <c r="Z436" s="13"/>
      <c r="AA436" s="14"/>
      <c r="AB436" s="12"/>
      <c r="AC436" s="13"/>
      <c r="AD436" s="13"/>
      <c r="AE436" s="14"/>
    </row>
    <row r="437" spans="1:31" x14ac:dyDescent="0.3">
      <c r="B437" s="3" t="s">
        <v>0</v>
      </c>
      <c r="C437" s="3" t="s">
        <v>1</v>
      </c>
      <c r="D437" s="3" t="s">
        <v>2</v>
      </c>
      <c r="E437" s="3" t="s">
        <v>3</v>
      </c>
      <c r="F437" s="3" t="s">
        <v>0</v>
      </c>
      <c r="G437" s="3" t="s">
        <v>1</v>
      </c>
      <c r="H437" s="3" t="s">
        <v>2</v>
      </c>
      <c r="I437" s="3" t="s">
        <v>3</v>
      </c>
      <c r="J437" s="3" t="s">
        <v>0</v>
      </c>
      <c r="K437" s="3" t="s">
        <v>1</v>
      </c>
      <c r="L437" s="3" t="s">
        <v>2</v>
      </c>
      <c r="M437" s="3" t="s">
        <v>3</v>
      </c>
      <c r="T437" s="3" t="s">
        <v>0</v>
      </c>
      <c r="U437" s="3" t="s">
        <v>1</v>
      </c>
      <c r="V437" s="3" t="s">
        <v>2</v>
      </c>
      <c r="W437" s="3" t="s">
        <v>3</v>
      </c>
      <c r="X437" s="3" t="s">
        <v>0</v>
      </c>
      <c r="Y437" s="3" t="s">
        <v>1</v>
      </c>
      <c r="Z437" s="3" t="s">
        <v>2</v>
      </c>
      <c r="AA437" s="3" t="s">
        <v>3</v>
      </c>
      <c r="AB437" s="3" t="s">
        <v>0</v>
      </c>
      <c r="AC437" s="3" t="s">
        <v>1</v>
      </c>
      <c r="AD437" s="3" t="s">
        <v>2</v>
      </c>
      <c r="AE437" s="3" t="s">
        <v>3</v>
      </c>
    </row>
    <row r="438" spans="1:31" x14ac:dyDescent="0.3">
      <c r="B438" s="3">
        <f>$B$4</f>
        <v>0.1</v>
      </c>
      <c r="C438" s="3">
        <f>U422</f>
        <v>9.9940651861691945E-2</v>
      </c>
      <c r="D438" s="3">
        <f>B438*C438+B439*C439</f>
        <v>2.9988130372338384E-2</v>
      </c>
      <c r="E438" s="3">
        <f>1/(1+EXP(-D438))</f>
        <v>0.50749647081100735</v>
      </c>
      <c r="F438" s="3">
        <f>E438</f>
        <v>0.50749647081100735</v>
      </c>
      <c r="G438" s="3">
        <f>Y422</f>
        <v>0.10185581654086741</v>
      </c>
      <c r="H438" s="3">
        <f>F438*G438+F439*G439</f>
        <v>0.15616824624067505</v>
      </c>
      <c r="I438" s="3">
        <f>1/(1+EXP(-H438))</f>
        <v>0.53896290642361488</v>
      </c>
      <c r="J438" s="3">
        <f>I438</f>
        <v>0.53896290642361488</v>
      </c>
      <c r="K438" s="3">
        <f>AC422</f>
        <v>-0.27830314116487559</v>
      </c>
      <c r="L438" s="3">
        <f>J438*K438+J439*K439</f>
        <v>-2.7486651636851489E-2</v>
      </c>
      <c r="M438" s="3">
        <f>1/(1+EXP(-L438))</f>
        <v>0.49312876969571984</v>
      </c>
      <c r="T438" s="3">
        <f>$O$19</f>
        <v>0.2</v>
      </c>
      <c r="U438" s="3">
        <f>C453</f>
        <v>9.9938813568263243E-2</v>
      </c>
      <c r="V438" s="3">
        <f>T438*U438+T439*U439</f>
        <v>5.997552542730529E-2</v>
      </c>
      <c r="W438" s="3">
        <f>1/(1+EXP(-V438))</f>
        <v>0.51498938847746956</v>
      </c>
      <c r="X438" s="3">
        <f>W438</f>
        <v>0.51498938847746956</v>
      </c>
      <c r="Y438" s="3">
        <f>G453</f>
        <v>0.10218265243446993</v>
      </c>
      <c r="Z438" s="3">
        <f>X438*Y438+X439*Y439</f>
        <v>0.16080030688995689</v>
      </c>
      <c r="AA438" s="3">
        <f>1/(1+EXP(-Z438))</f>
        <v>0.54011367986975178</v>
      </c>
      <c r="AB438" s="3">
        <f>AA438</f>
        <v>0.54011367986975178</v>
      </c>
      <c r="AC438" s="3">
        <f>K453</f>
        <v>-0.29838032211961985</v>
      </c>
      <c r="AD438" s="3">
        <f>AB438*AC438+AB439*AC439</f>
        <v>-3.8203371584628484E-2</v>
      </c>
      <c r="AE438" s="3">
        <f>1/(1+EXP(-AD438))</f>
        <v>0.4904503185536872</v>
      </c>
    </row>
    <row r="439" spans="1:31" x14ac:dyDescent="0.3">
      <c r="B439" s="3">
        <f>$B$5</f>
        <v>0.1</v>
      </c>
      <c r="C439" s="3">
        <f>U423</f>
        <v>0.19994065186169188</v>
      </c>
      <c r="D439" s="3">
        <f>B438*C440+B439*C441</f>
        <v>6.9985369882917842E-2</v>
      </c>
      <c r="E439" s="3">
        <f>1/(1+EXP(-D439))</f>
        <v>0.51748920461300119</v>
      </c>
      <c r="F439" s="3">
        <f>E439</f>
        <v>0.51748920461300119</v>
      </c>
      <c r="G439" s="3">
        <f t="shared" ref="G439:G441" si="87">Y423</f>
        <v>0.2018917068864137</v>
      </c>
      <c r="H439" s="3">
        <f>F438*G440+F439*G441</f>
        <v>0.35499034064660101</v>
      </c>
      <c r="I439" s="3">
        <f>1/(1+EXP(-H439))</f>
        <v>0.58782719815469719</v>
      </c>
      <c r="J439" s="3">
        <f>I439</f>
        <v>0.58782719815469719</v>
      </c>
      <c r="K439" s="3">
        <f>AC423</f>
        <v>0.20840889733712384</v>
      </c>
      <c r="L439" s="3"/>
      <c r="M439" s="3"/>
      <c r="T439" s="3">
        <f t="shared" ref="T439:T445" si="88">$O$19</f>
        <v>0.2</v>
      </c>
      <c r="U439" s="3">
        <f t="shared" ref="U439:U441" si="89">C454</f>
        <v>0.19993881356826318</v>
      </c>
      <c r="V439" s="3">
        <f>T438*U440+T439*U441</f>
        <v>0.1399701793974587</v>
      </c>
      <c r="W439" s="3">
        <f>1/(1+EXP(-V439))</f>
        <v>0.53493552641108577</v>
      </c>
      <c r="X439" s="3">
        <f>W439</f>
        <v>0.53493552641108577</v>
      </c>
      <c r="Y439" s="3">
        <f t="shared" ref="Y439:Y441" si="90">G454</f>
        <v>0.20222497826138319</v>
      </c>
      <c r="Z439" s="3">
        <f>X438*Y440+X439*Y441</f>
        <v>0.36385970873112716</v>
      </c>
      <c r="AA439" s="3">
        <f>1/(1+EXP(-Z439))</f>
        <v>0.58997443855396847</v>
      </c>
      <c r="AB439" s="3">
        <f>AA439</f>
        <v>0.58997443855396847</v>
      </c>
      <c r="AC439" s="3">
        <f>K454</f>
        <v>0.20840889733712384</v>
      </c>
      <c r="AD439" s="3"/>
      <c r="AE439" s="3"/>
    </row>
    <row r="440" spans="1:31" x14ac:dyDescent="0.3">
      <c r="B440" s="3">
        <f>$B$6</f>
        <v>0.1</v>
      </c>
      <c r="C440" s="3">
        <f t="shared" ref="C440:C441" si="91">U424</f>
        <v>0.29992684941458914</v>
      </c>
      <c r="D440" s="3"/>
      <c r="E440" s="3"/>
      <c r="F440" s="3"/>
      <c r="G440" s="3">
        <f t="shared" si="87"/>
        <v>0.29589569573897484</v>
      </c>
      <c r="H440" s="3"/>
      <c r="I440" s="3"/>
      <c r="J440" s="3"/>
      <c r="K440" s="3"/>
      <c r="L440" s="3"/>
      <c r="M440" s="3"/>
      <c r="T440" s="3">
        <f t="shared" si="88"/>
        <v>0.2</v>
      </c>
      <c r="U440" s="3">
        <f t="shared" si="89"/>
        <v>0.29992544849364672</v>
      </c>
      <c r="V440" s="3"/>
      <c r="W440" s="3"/>
      <c r="X440" s="3"/>
      <c r="Y440" s="3">
        <f t="shared" si="90"/>
        <v>0.29565704534539766</v>
      </c>
      <c r="Z440" s="3"/>
      <c r="AA440" s="3"/>
      <c r="AB440" s="3"/>
      <c r="AC440" s="3"/>
      <c r="AD440" s="3"/>
      <c r="AE440" s="3"/>
    </row>
    <row r="441" spans="1:31" x14ac:dyDescent="0.3">
      <c r="B441" s="3">
        <f>$B$7</f>
        <v>0.1</v>
      </c>
      <c r="C441" s="3">
        <f t="shared" si="91"/>
        <v>0.39992684941458917</v>
      </c>
      <c r="D441" s="3"/>
      <c r="E441" s="3"/>
      <c r="F441" s="3"/>
      <c r="G441" s="3">
        <f t="shared" si="87"/>
        <v>0.39580404287675786</v>
      </c>
      <c r="H441" s="3"/>
      <c r="I441" s="3"/>
      <c r="J441" s="3"/>
      <c r="K441" s="3"/>
      <c r="L441" s="3"/>
      <c r="M441" s="3"/>
      <c r="T441" s="3">
        <f t="shared" si="88"/>
        <v>0.2</v>
      </c>
      <c r="U441" s="3">
        <f t="shared" si="89"/>
        <v>0.39992544849364675</v>
      </c>
      <c r="V441" s="3"/>
      <c r="W441" s="3"/>
      <c r="X441" s="3"/>
      <c r="Y441" s="3">
        <f t="shared" si="90"/>
        <v>0.39556069339660188</v>
      </c>
      <c r="Z441" s="3"/>
      <c r="AA441" s="3"/>
      <c r="AB441" s="3"/>
      <c r="AC441" s="3"/>
      <c r="AD441" s="3"/>
      <c r="AE441" s="3"/>
    </row>
    <row r="442" spans="1:31" x14ac:dyDescent="0.3">
      <c r="B442" s="3">
        <f>$B$8</f>
        <v>0.1</v>
      </c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T442" s="3">
        <f t="shared" si="88"/>
        <v>0.2</v>
      </c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 spans="1:31" x14ac:dyDescent="0.3">
      <c r="B443" s="3">
        <f>$B$9</f>
        <v>0.1</v>
      </c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T443" s="3">
        <f t="shared" si="88"/>
        <v>0.2</v>
      </c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 spans="1:31" x14ac:dyDescent="0.3">
      <c r="B444" s="3">
        <f>$B$10</f>
        <v>0.1</v>
      </c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T444" s="3">
        <f t="shared" si="88"/>
        <v>0.2</v>
      </c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 spans="1:31" x14ac:dyDescent="0.3">
      <c r="B445" s="3">
        <f>$B$11</f>
        <v>0.1</v>
      </c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T445" s="3">
        <f t="shared" si="88"/>
        <v>0.2</v>
      </c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7" spans="1:31" x14ac:dyDescent="0.3">
      <c r="A447" s="4" t="s">
        <v>7</v>
      </c>
      <c r="B447" s="5">
        <f>E438 * (1 - E438) * (G438 * F447 + G440 * F448)</f>
        <v>-1.8382934287067059E-4</v>
      </c>
      <c r="C447" s="6"/>
      <c r="D447" s="6"/>
      <c r="E447" s="7"/>
      <c r="F447" s="5">
        <f>I438 * (1 - I438) * K438 *J447</f>
        <v>6.440160915409365E-3</v>
      </c>
      <c r="G447" s="6"/>
      <c r="H447" s="6"/>
      <c r="I447" s="7"/>
      <c r="J447" s="5">
        <f>$P$18 - M438</f>
        <v>-9.3128769695719815E-2</v>
      </c>
      <c r="K447" s="6"/>
      <c r="L447" s="6"/>
      <c r="M447" s="7"/>
      <c r="S447" s="4" t="s">
        <v>7</v>
      </c>
      <c r="T447" s="5">
        <f>W438 * (1 - W438) * (Y438 * X447 + Y440 * X448)</f>
        <v>1.7489569641278352E-5</v>
      </c>
      <c r="U447" s="6"/>
      <c r="V447" s="6"/>
      <c r="W447" s="7"/>
      <c r="X447" s="5">
        <f>AA438 * (1 - AA438) * AC438 *AB447</f>
        <v>-7.0777420656690203E-4</v>
      </c>
      <c r="Y447" s="6"/>
      <c r="Z447" s="6"/>
      <c r="AA447" s="7"/>
      <c r="AB447" s="5">
        <f>$P$19 - AE438</f>
        <v>9.5496814463127966E-3</v>
      </c>
      <c r="AC447" s="6"/>
      <c r="AD447" s="6"/>
      <c r="AE447" s="7"/>
    </row>
    <row r="448" spans="1:31" x14ac:dyDescent="0.3">
      <c r="B448" s="5">
        <f>E439 * (1 - E439) * (G439 * F447 + G441 * F448)</f>
        <v>-1.4009209424170225E-4</v>
      </c>
      <c r="C448" s="6"/>
      <c r="D448" s="6"/>
      <c r="E448" s="7"/>
      <c r="F448" s="5">
        <f>J439 * (1 - J439) * K439 * J447</f>
        <v>-4.7025035109274204E-3</v>
      </c>
      <c r="G448" s="6"/>
      <c r="H448" s="6"/>
      <c r="I448" s="7"/>
      <c r="T448" s="5">
        <f>W439 * (1 - W439) * (Y439 * X447 + Y441 * X448)</f>
        <v>1.1770313134726298E-5</v>
      </c>
      <c r="U448" s="6"/>
      <c r="V448" s="6"/>
      <c r="W448" s="7"/>
      <c r="X448" s="5">
        <f>AB439 * (1 - AB439) * AC439 * AB447</f>
        <v>4.8144786844481365E-4</v>
      </c>
      <c r="Y448" s="6"/>
      <c r="Z448" s="6"/>
      <c r="AA448" s="7"/>
    </row>
    <row r="450" spans="2:31" x14ac:dyDescent="0.3">
      <c r="B450" s="8" t="s">
        <v>4</v>
      </c>
      <c r="C450" s="8"/>
      <c r="D450" s="8"/>
      <c r="E450" s="8"/>
      <c r="F450" s="8" t="s">
        <v>5</v>
      </c>
      <c r="G450" s="8"/>
      <c r="H450" s="8"/>
      <c r="I450" s="8"/>
      <c r="J450" s="8" t="s">
        <v>6</v>
      </c>
      <c r="K450" s="8"/>
      <c r="L450" s="8"/>
      <c r="M450" s="8"/>
      <c r="T450" s="9" t="s">
        <v>4</v>
      </c>
      <c r="U450" s="10"/>
      <c r="V450" s="10"/>
      <c r="W450" s="11"/>
      <c r="X450" s="9" t="s">
        <v>5</v>
      </c>
      <c r="Y450" s="10"/>
      <c r="Z450" s="10"/>
      <c r="AA450" s="11"/>
      <c r="AB450" s="9" t="s">
        <v>6</v>
      </c>
      <c r="AC450" s="10"/>
      <c r="AD450" s="10"/>
      <c r="AE450" s="11"/>
    </row>
    <row r="451" spans="2:31" x14ac:dyDescent="0.3"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T451" s="12"/>
      <c r="U451" s="13"/>
      <c r="V451" s="13"/>
      <c r="W451" s="14"/>
      <c r="X451" s="12"/>
      <c r="Y451" s="13"/>
      <c r="Z451" s="13"/>
      <c r="AA451" s="14"/>
      <c r="AB451" s="12"/>
      <c r="AC451" s="13"/>
      <c r="AD451" s="13"/>
      <c r="AE451" s="14"/>
    </row>
    <row r="452" spans="2:31" x14ac:dyDescent="0.3">
      <c r="B452" s="3" t="s">
        <v>0</v>
      </c>
      <c r="C452" s="3" t="s">
        <v>1</v>
      </c>
      <c r="D452" s="3" t="s">
        <v>2</v>
      </c>
      <c r="E452" s="3" t="s">
        <v>3</v>
      </c>
      <c r="F452" s="3" t="s">
        <v>0</v>
      </c>
      <c r="G452" s="3" t="s">
        <v>1</v>
      </c>
      <c r="H452" s="3" t="s">
        <v>2</v>
      </c>
      <c r="I452" s="3" t="s">
        <v>3</v>
      </c>
      <c r="J452" s="3" t="s">
        <v>0</v>
      </c>
      <c r="K452" s="3" t="s">
        <v>1</v>
      </c>
      <c r="L452" s="3" t="s">
        <v>2</v>
      </c>
      <c r="M452" s="3" t="s">
        <v>3</v>
      </c>
      <c r="T452" s="3">
        <f>$O$19</f>
        <v>0.2</v>
      </c>
      <c r="U452" s="3" t="s">
        <v>1</v>
      </c>
      <c r="V452" s="3" t="s">
        <v>2</v>
      </c>
      <c r="W452" s="3" t="s">
        <v>3</v>
      </c>
      <c r="X452" s="3" t="s">
        <v>0</v>
      </c>
      <c r="Y452" s="3" t="s">
        <v>1</v>
      </c>
      <c r="Z452" s="3" t="s">
        <v>2</v>
      </c>
      <c r="AA452" s="3" t="s">
        <v>3</v>
      </c>
      <c r="AB452" s="3" t="s">
        <v>0</v>
      </c>
      <c r="AC452" s="3" t="s">
        <v>1</v>
      </c>
      <c r="AD452" s="3" t="s">
        <v>2</v>
      </c>
      <c r="AE452" s="3" t="s">
        <v>3</v>
      </c>
    </row>
    <row r="453" spans="2:31" x14ac:dyDescent="0.3">
      <c r="B453" s="3">
        <f>$B$4</f>
        <v>0.1</v>
      </c>
      <c r="C453" s="3">
        <f>C438 + $O$7 * B438 * B447</f>
        <v>9.9938813568263243E-2</v>
      </c>
      <c r="D453" s="3">
        <f>B453*C453+B454*C454</f>
        <v>2.9987762713652645E-2</v>
      </c>
      <c r="E453" s="3">
        <f>1/(1+EXP(-D453))</f>
        <v>0.50749637891699706</v>
      </c>
      <c r="F453" s="3">
        <f>E453</f>
        <v>0.50749637891699706</v>
      </c>
      <c r="G453" s="3">
        <f>G438 + $O$7 * F438 * F447</f>
        <v>0.10218265243446993</v>
      </c>
      <c r="H453" s="3">
        <f>F453*G453+F454*G454</f>
        <v>0.15650655510426259</v>
      </c>
      <c r="I453" s="3">
        <f>1/(1+EXP(-H453))</f>
        <v>0.53904696894122184</v>
      </c>
      <c r="J453" s="3">
        <f>I453</f>
        <v>0.53904696894122184</v>
      </c>
      <c r="K453" s="3">
        <f>K438 + $P$18 * J438 * J447</f>
        <v>-0.29838032211961985</v>
      </c>
      <c r="L453" s="3">
        <f>J453*K453+J454*K454</f>
        <v>-3.8345067523971044E-2</v>
      </c>
      <c r="M453" s="3">
        <f>1/(1+EXP(-L453))</f>
        <v>0.49041490753898903</v>
      </c>
      <c r="T453" s="3">
        <f t="shared" ref="T453:T459" si="92">$O$19</f>
        <v>0.2</v>
      </c>
      <c r="U453" s="3">
        <f>U438 + $O$7 * T438 * T447</f>
        <v>9.9939163359656066E-2</v>
      </c>
      <c r="V453" s="3">
        <f>T453*U453+T454*U454</f>
        <v>5.9975665343862422E-2</v>
      </c>
      <c r="W453" s="3">
        <f>1/(1+EXP(-V453))</f>
        <v>0.51498942342517207</v>
      </c>
      <c r="X453" s="3">
        <f>W453</f>
        <v>0.51498942342517207</v>
      </c>
      <c r="Y453" s="3">
        <f>Y438 + $O$7 * X438 * X447</f>
        <v>0.10214620281388793</v>
      </c>
      <c r="Z453" s="3">
        <f>X453*Y453+X454*Y454</f>
        <v>0.16076129064347519</v>
      </c>
      <c r="AA453" s="3">
        <f>1/(1+EXP(-Z453))</f>
        <v>0.54010398857429254</v>
      </c>
      <c r="AB453" s="3">
        <f>AA453</f>
        <v>0.54010398857429254</v>
      </c>
      <c r="AC453" s="3">
        <f>AC438 +  $P$19 * AB438 * AB447</f>
        <v>-0.29580136532584389</v>
      </c>
      <c r="AD453" s="3">
        <f>AB453*AC453+AB454*AC454</f>
        <v>-3.6806235759064818E-2</v>
      </c>
      <c r="AE453" s="3">
        <f>1/(1+EXP(-AD453))</f>
        <v>0.49079947969808052</v>
      </c>
    </row>
    <row r="454" spans="2:31" x14ac:dyDescent="0.3">
      <c r="B454" s="3">
        <f>$B$5</f>
        <v>0.1</v>
      </c>
      <c r="C454" s="3">
        <f>C439 + $O$7 * B439 * B447</f>
        <v>0.19993881356826318</v>
      </c>
      <c r="D454" s="3">
        <f>B453*C455+B454*C456</f>
        <v>6.9985089698729352E-2</v>
      </c>
      <c r="E454" s="3">
        <f>1/(1+EXP(-D454))</f>
        <v>0.51748913465265434</v>
      </c>
      <c r="F454" s="3">
        <f>E454</f>
        <v>0.51748913465265434</v>
      </c>
      <c r="G454" s="3">
        <f>G439 + $O$7 * F439 * F447</f>
        <v>0.20222497826138319</v>
      </c>
      <c r="H454" s="3">
        <f>F453*G455+F454*G456</f>
        <v>0.35474324084249914</v>
      </c>
      <c r="I454" s="3">
        <f>1/(1+EXP(-H454))</f>
        <v>0.58776732793785225</v>
      </c>
      <c r="J454" s="3">
        <f>I454</f>
        <v>0.58776732793785225</v>
      </c>
      <c r="K454" s="3">
        <f>K439 + $P$18 * J439 * J448</f>
        <v>0.20840889733712384</v>
      </c>
      <c r="L454" s="3"/>
      <c r="M454" s="3"/>
      <c r="T454" s="3">
        <f t="shared" si="92"/>
        <v>0.2</v>
      </c>
      <c r="U454" s="3">
        <f>U439 + $O$7 * T439 * T447</f>
        <v>0.199939163359656</v>
      </c>
      <c r="V454" s="3">
        <f>T453*U455+T454*U456</f>
        <v>0.13997027355996378</v>
      </c>
      <c r="W454" s="3">
        <f>1/(1+EXP(-V454))</f>
        <v>0.53493554983678748</v>
      </c>
      <c r="X454" s="3">
        <f>W454</f>
        <v>0.53493554983678748</v>
      </c>
      <c r="Y454" s="3">
        <f>Y439 + $O$7 * X439 * X447</f>
        <v>0.2021871169046062</v>
      </c>
      <c r="Z454" s="3">
        <f>X453*Y455+X454*Y456</f>
        <v>0.36388627392676109</v>
      </c>
      <c r="AA454" s="3">
        <f>1/(1+EXP(-Z454))</f>
        <v>0.58998086478164269</v>
      </c>
      <c r="AB454" s="3">
        <f>AA454</f>
        <v>0.58998086478164269</v>
      </c>
      <c r="AC454" s="3">
        <f>AC439 +  $P$19 * AB439 * AB448</f>
        <v>0.20840889733712384</v>
      </c>
      <c r="AD454" s="3"/>
      <c r="AE454" s="3"/>
    </row>
    <row r="455" spans="2:31" x14ac:dyDescent="0.3">
      <c r="B455" s="3">
        <f>$B$6</f>
        <v>0.1</v>
      </c>
      <c r="C455" s="3">
        <f>C440 + $O$7 * B438 * B448</f>
        <v>0.29992544849364672</v>
      </c>
      <c r="D455" s="3"/>
      <c r="E455" s="3"/>
      <c r="F455" s="3"/>
      <c r="G455" s="3">
        <f>G440 + $O$7 * F438 * F448</f>
        <v>0.29565704534539766</v>
      </c>
      <c r="H455" s="3"/>
      <c r="I455" s="3"/>
      <c r="J455" s="3"/>
      <c r="K455" s="3"/>
      <c r="L455" s="3"/>
      <c r="M455" s="3"/>
      <c r="T455" s="3">
        <f t="shared" si="92"/>
        <v>0.2</v>
      </c>
      <c r="U455" s="3">
        <f>U440 + $O$7 * T438 * T448</f>
        <v>0.29992568389990942</v>
      </c>
      <c r="V455" s="3"/>
      <c r="W455" s="3"/>
      <c r="X455" s="3"/>
      <c r="Y455" s="3">
        <f>Y440 + $O$7 * X438 * X448</f>
        <v>0.29568183939973308</v>
      </c>
      <c r="Z455" s="3"/>
      <c r="AA455" s="3"/>
      <c r="AB455" s="3"/>
      <c r="AC455" s="3"/>
      <c r="AD455" s="3"/>
      <c r="AE455" s="3"/>
    </row>
    <row r="456" spans="2:31" x14ac:dyDescent="0.3">
      <c r="B456" s="3">
        <f>$B$7</f>
        <v>0.1</v>
      </c>
      <c r="C456" s="3">
        <f>C441 + $O$7 * B439* B448</f>
        <v>0.39992544849364675</v>
      </c>
      <c r="D456" s="3"/>
      <c r="E456" s="3"/>
      <c r="F456" s="3"/>
      <c r="G456" s="3">
        <f>G441 + $O$7 * F439* F448</f>
        <v>0.39556069339660188</v>
      </c>
      <c r="H456" s="3"/>
      <c r="I456" s="3"/>
      <c r="J456" s="3"/>
      <c r="K456" s="3"/>
      <c r="L456" s="3"/>
      <c r="M456" s="3"/>
      <c r="T456" s="3">
        <f t="shared" si="92"/>
        <v>0.2</v>
      </c>
      <c r="U456" s="3">
        <f>U441 + $O$7 * T439* T448</f>
        <v>0.39992568389990946</v>
      </c>
      <c r="V456" s="3"/>
      <c r="W456" s="3"/>
      <c r="X456" s="3"/>
      <c r="Y456" s="3">
        <f>Y441 + $O$7 * X439* X448</f>
        <v>0.3955864477534965</v>
      </c>
      <c r="Z456" s="3"/>
      <c r="AA456" s="3"/>
      <c r="AB456" s="3"/>
      <c r="AC456" s="3"/>
      <c r="AD456" s="3"/>
      <c r="AE456" s="3"/>
    </row>
    <row r="457" spans="2:31" x14ac:dyDescent="0.3">
      <c r="B457" s="3">
        <f>$B$8</f>
        <v>0.1</v>
      </c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T457" s="3">
        <f t="shared" si="92"/>
        <v>0.2</v>
      </c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 spans="2:31" x14ac:dyDescent="0.3">
      <c r="B458" s="3">
        <f>$B$9</f>
        <v>0.1</v>
      </c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T458" s="3">
        <f t="shared" si="92"/>
        <v>0.2</v>
      </c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 spans="2:31" x14ac:dyDescent="0.3">
      <c r="B459" s="3">
        <f>$B$10</f>
        <v>0.1</v>
      </c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T459" s="3">
        <f t="shared" si="92"/>
        <v>0.2</v>
      </c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 spans="2:31" x14ac:dyDescent="0.3">
      <c r="B460" s="3">
        <f>$B$11</f>
        <v>0.1</v>
      </c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T460" s="3">
        <f>$B$11</f>
        <v>0.1</v>
      </c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6" spans="1:31" x14ac:dyDescent="0.3">
      <c r="B466" s="8" t="s">
        <v>4</v>
      </c>
      <c r="C466" s="8"/>
      <c r="D466" s="8"/>
      <c r="E466" s="8"/>
      <c r="F466" s="8" t="s">
        <v>5</v>
      </c>
      <c r="G466" s="8"/>
      <c r="H466" s="8"/>
      <c r="I466" s="8"/>
      <c r="J466" s="8" t="s">
        <v>6</v>
      </c>
      <c r="K466" s="8"/>
      <c r="L466" s="8"/>
      <c r="M466" s="8"/>
      <c r="T466" s="9" t="s">
        <v>4</v>
      </c>
      <c r="U466" s="10"/>
      <c r="V466" s="10"/>
      <c r="W466" s="11"/>
      <c r="X466" s="9" t="s">
        <v>5</v>
      </c>
      <c r="Y466" s="10"/>
      <c r="Z466" s="10"/>
      <c r="AA466" s="11"/>
      <c r="AB466" s="9" t="s">
        <v>6</v>
      </c>
      <c r="AC466" s="10"/>
      <c r="AD466" s="10"/>
      <c r="AE466" s="11"/>
    </row>
    <row r="467" spans="1:31" x14ac:dyDescent="0.3"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T467" s="12"/>
      <c r="U467" s="13"/>
      <c r="V467" s="13"/>
      <c r="W467" s="14"/>
      <c r="X467" s="12"/>
      <c r="Y467" s="13"/>
      <c r="Z467" s="13"/>
      <c r="AA467" s="14"/>
      <c r="AB467" s="12"/>
      <c r="AC467" s="13"/>
      <c r="AD467" s="13"/>
      <c r="AE467" s="14"/>
    </row>
    <row r="468" spans="1:31" x14ac:dyDescent="0.3">
      <c r="B468" s="3" t="s">
        <v>0</v>
      </c>
      <c r="C468" s="3" t="s">
        <v>1</v>
      </c>
      <c r="D468" s="3" t="s">
        <v>2</v>
      </c>
      <c r="E468" s="3" t="s">
        <v>3</v>
      </c>
      <c r="F468" s="3" t="s">
        <v>0</v>
      </c>
      <c r="G468" s="3" t="s">
        <v>1</v>
      </c>
      <c r="H468" s="3" t="s">
        <v>2</v>
      </c>
      <c r="I468" s="3" t="s">
        <v>3</v>
      </c>
      <c r="J468" s="3" t="s">
        <v>0</v>
      </c>
      <c r="K468" s="3" t="s">
        <v>1</v>
      </c>
      <c r="L468" s="3" t="s">
        <v>2</v>
      </c>
      <c r="M468" s="3" t="s">
        <v>3</v>
      </c>
      <c r="T468" s="3" t="s">
        <v>0</v>
      </c>
      <c r="U468" s="3" t="s">
        <v>1</v>
      </c>
      <c r="V468" s="3" t="s">
        <v>2</v>
      </c>
      <c r="W468" s="3" t="s">
        <v>3</v>
      </c>
      <c r="X468" s="3" t="s">
        <v>0</v>
      </c>
      <c r="Y468" s="3" t="s">
        <v>1</v>
      </c>
      <c r="Z468" s="3" t="s">
        <v>2</v>
      </c>
      <c r="AA468" s="3" t="s">
        <v>3</v>
      </c>
      <c r="AB468" s="3" t="s">
        <v>0</v>
      </c>
      <c r="AC468" s="3" t="s">
        <v>1</v>
      </c>
      <c r="AD468" s="3" t="s">
        <v>2</v>
      </c>
      <c r="AE468" s="3" t="s">
        <v>3</v>
      </c>
    </row>
    <row r="469" spans="1:31" x14ac:dyDescent="0.3">
      <c r="B469" s="3">
        <f>$B$4</f>
        <v>0.1</v>
      </c>
      <c r="C469" s="3">
        <f>U453</f>
        <v>9.9939163359656066E-2</v>
      </c>
      <c r="D469" s="3">
        <f>B469*C469+B470*C470</f>
        <v>2.9987832671931211E-2</v>
      </c>
      <c r="E469" s="3">
        <f>1/(1+EXP(-D469))</f>
        <v>0.50749639640263533</v>
      </c>
      <c r="F469" s="3">
        <f>E469</f>
        <v>0.50749639640263533</v>
      </c>
      <c r="G469" s="3">
        <f>Y453</f>
        <v>0.10214620281388793</v>
      </c>
      <c r="H469" s="3">
        <f>F469*G469+F470*G470</f>
        <v>0.15646846837603462</v>
      </c>
      <c r="I469" s="3">
        <f>1/(1+EXP(-H469))</f>
        <v>0.53903750531462336</v>
      </c>
      <c r="J469" s="3">
        <f>I469</f>
        <v>0.53903750531462336</v>
      </c>
      <c r="K469" s="3">
        <f>AC453</f>
        <v>-0.29580136532584389</v>
      </c>
      <c r="L469" s="3">
        <f>J469*K469+J470*K470</f>
        <v>-3.6950780436936462E-2</v>
      </c>
      <c r="M469" s="3">
        <f>1/(1+EXP(-L469))</f>
        <v>0.49076335581236163</v>
      </c>
      <c r="T469" s="3">
        <f>$O$19</f>
        <v>0.2</v>
      </c>
      <c r="U469" s="3">
        <f>C484</f>
        <v>9.9937479345978936E-2</v>
      </c>
      <c r="V469" s="3">
        <f>T469*U469+T470*U470</f>
        <v>5.9974991738391562E-2</v>
      </c>
      <c r="W469" s="3">
        <f>1/(1+EXP(-V469))</f>
        <v>0.51498925517515026</v>
      </c>
      <c r="X469" s="3">
        <f>W469</f>
        <v>0.51498925517515026</v>
      </c>
      <c r="Y469" s="3">
        <f>G484</f>
        <v>0.10248475705357513</v>
      </c>
      <c r="Z469" s="3">
        <f>X469*Y469+X470*Y470</f>
        <v>0.16112027259131589</v>
      </c>
      <c r="AA469" s="3">
        <f>1/(1+EXP(-Z469))</f>
        <v>0.54019315541519497</v>
      </c>
      <c r="AB469" s="3">
        <f>AA469</f>
        <v>0.54019315541519497</v>
      </c>
      <c r="AC469" s="3">
        <f>K484</f>
        <v>-0.31537130648227546</v>
      </c>
      <c r="AD469" s="3">
        <f>AB469*AC469+AB470*AC470</f>
        <v>-4.7416600111480287E-2</v>
      </c>
      <c r="AE469" s="3">
        <f>1/(1+EXP(-AD469))</f>
        <v>0.48814807048023251</v>
      </c>
    </row>
    <row r="470" spans="1:31" x14ac:dyDescent="0.3">
      <c r="B470" s="3">
        <f>$B$5</f>
        <v>0.1</v>
      </c>
      <c r="C470" s="3">
        <f>U454</f>
        <v>0.199939163359656</v>
      </c>
      <c r="D470" s="3">
        <f>B469*C471+B470*C472</f>
        <v>6.9985136779981888E-2</v>
      </c>
      <c r="E470" s="3">
        <f>1/(1+EXP(-D470))</f>
        <v>0.51748914640856669</v>
      </c>
      <c r="F470" s="3">
        <f>E470</f>
        <v>0.51748914640856669</v>
      </c>
      <c r="G470" s="3">
        <f t="shared" ref="G470:G472" si="93">Y454</f>
        <v>0.2021871169046062</v>
      </c>
      <c r="H470" s="3">
        <f>F469*G471+F470*G472</f>
        <v>0.35476916115582124</v>
      </c>
      <c r="I470" s="3">
        <f>1/(1+EXP(-H470))</f>
        <v>0.58777360833502934</v>
      </c>
      <c r="J470" s="3">
        <f>I470</f>
        <v>0.58777360833502934</v>
      </c>
      <c r="K470" s="3">
        <f>AC454</f>
        <v>0.20840889733712384</v>
      </c>
      <c r="L470" s="3"/>
      <c r="M470" s="3"/>
      <c r="T470" s="3">
        <f t="shared" ref="T470:T476" si="94">$O$19</f>
        <v>0.2</v>
      </c>
      <c r="U470" s="3">
        <f t="shared" ref="U470:U472" si="95">C485</f>
        <v>0.19993747934597886</v>
      </c>
      <c r="V470" s="3">
        <f>T469*U471+T470*U472</f>
        <v>0.13996980986381224</v>
      </c>
      <c r="W470" s="3">
        <f>1/(1+EXP(-V470))</f>
        <v>0.53493543447868552</v>
      </c>
      <c r="X470" s="3">
        <f>W470</f>
        <v>0.53493543447868552</v>
      </c>
      <c r="Y470" s="3">
        <f t="shared" ref="Y470:Y472" si="96">G485</f>
        <v>0.20253233737464421</v>
      </c>
      <c r="Z470" s="3">
        <f>X469*Y471+X470*Y472</f>
        <v>0.36363951839089226</v>
      </c>
      <c r="AA470" s="3">
        <f>1/(1+EXP(-Z470))</f>
        <v>0.58992117244263398</v>
      </c>
      <c r="AB470" s="3">
        <f>AA470</f>
        <v>0.58992117244263398</v>
      </c>
      <c r="AC470" s="3">
        <f>K485</f>
        <v>0.20840889733712384</v>
      </c>
      <c r="AD470" s="3"/>
      <c r="AE470" s="3"/>
    </row>
    <row r="471" spans="1:31" x14ac:dyDescent="0.3">
      <c r="B471" s="3">
        <f>$B$6</f>
        <v>0.1</v>
      </c>
      <c r="C471" s="3">
        <f t="shared" ref="C471:C472" si="97">U455</f>
        <v>0.29992568389990942</v>
      </c>
      <c r="D471" s="3"/>
      <c r="E471" s="3"/>
      <c r="F471" s="3"/>
      <c r="G471" s="3">
        <f t="shared" si="93"/>
        <v>0.29568183939973308</v>
      </c>
      <c r="H471" s="3"/>
      <c r="I471" s="3"/>
      <c r="J471" s="3"/>
      <c r="K471" s="3"/>
      <c r="L471" s="3"/>
      <c r="M471" s="3"/>
      <c r="T471" s="3">
        <f t="shared" si="94"/>
        <v>0.2</v>
      </c>
      <c r="U471" s="3">
        <f t="shared" si="95"/>
        <v>0.29992452465953057</v>
      </c>
      <c r="V471" s="3"/>
      <c r="W471" s="3"/>
      <c r="X471" s="3"/>
      <c r="Y471" s="3">
        <f t="shared" si="96"/>
        <v>0.29544924158076791</v>
      </c>
      <c r="Z471" s="3"/>
      <c r="AA471" s="3"/>
      <c r="AB471" s="3"/>
      <c r="AC471" s="3"/>
      <c r="AD471" s="3"/>
      <c r="AE471" s="3"/>
    </row>
    <row r="472" spans="1:31" x14ac:dyDescent="0.3">
      <c r="B472" s="3">
        <f>$B$7</f>
        <v>0.1</v>
      </c>
      <c r="C472" s="3">
        <f t="shared" si="97"/>
        <v>0.39992568389990946</v>
      </c>
      <c r="D472" s="3"/>
      <c r="E472" s="3"/>
      <c r="F472" s="3"/>
      <c r="G472" s="3">
        <f t="shared" si="93"/>
        <v>0.3955864477534965</v>
      </c>
      <c r="H472" s="3"/>
      <c r="I472" s="3"/>
      <c r="J472" s="3"/>
      <c r="K472" s="3"/>
      <c r="L472" s="3"/>
      <c r="M472" s="3"/>
      <c r="T472" s="3">
        <f t="shared" si="94"/>
        <v>0.2</v>
      </c>
      <c r="U472" s="3">
        <f t="shared" si="95"/>
        <v>0.3999245246595306</v>
      </c>
      <c r="V472" s="3"/>
      <c r="W472" s="3"/>
      <c r="X472" s="3"/>
      <c r="Y472" s="3">
        <f t="shared" si="96"/>
        <v>0.39534927001657855</v>
      </c>
      <c r="Z472" s="3"/>
      <c r="AA472" s="3"/>
      <c r="AB472" s="3"/>
      <c r="AC472" s="3"/>
      <c r="AD472" s="3"/>
      <c r="AE472" s="3"/>
    </row>
    <row r="473" spans="1:31" x14ac:dyDescent="0.3">
      <c r="B473" s="3">
        <f>$B$8</f>
        <v>0.1</v>
      </c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T473" s="3">
        <f t="shared" si="94"/>
        <v>0.2</v>
      </c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 spans="1:31" x14ac:dyDescent="0.3">
      <c r="B474" s="3">
        <f>$B$9</f>
        <v>0.1</v>
      </c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T474" s="3">
        <f t="shared" si="94"/>
        <v>0.2</v>
      </c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 spans="1:31" x14ac:dyDescent="0.3">
      <c r="B475" s="3">
        <f>$B$10</f>
        <v>0.1</v>
      </c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T475" s="3">
        <f t="shared" si="94"/>
        <v>0.2</v>
      </c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 spans="1:31" x14ac:dyDescent="0.3">
      <c r="B476" s="3">
        <f>$B$11</f>
        <v>0.1</v>
      </c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T476" s="3">
        <f t="shared" si="94"/>
        <v>0.2</v>
      </c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8" spans="1:31" x14ac:dyDescent="0.3">
      <c r="A478" s="4" t="s">
        <v>7</v>
      </c>
      <c r="B478" s="5">
        <f>E469 * (1 - E469) * (G469 * F478 + G471 * F479)</f>
        <v>-1.6840136771308255E-4</v>
      </c>
      <c r="C478" s="6"/>
      <c r="D478" s="6"/>
      <c r="E478" s="7"/>
      <c r="F478" s="5">
        <f>I469 * (1 - I469) * K469 *J478</f>
        <v>6.6710668703661965E-3</v>
      </c>
      <c r="G478" s="6"/>
      <c r="H478" s="6"/>
      <c r="I478" s="7"/>
      <c r="J478" s="5">
        <f>$P$18 - M469</f>
        <v>-9.0763355812361612E-2</v>
      </c>
      <c r="K478" s="6"/>
      <c r="L478" s="6"/>
      <c r="M478" s="7"/>
      <c r="S478" s="4" t="s">
        <v>7</v>
      </c>
      <c r="T478" s="5">
        <f>W469 * (1 - W469) * (Y469 * X478 + Y471 * X479)</f>
        <v>2.0330617229365959E-5</v>
      </c>
      <c r="U478" s="6"/>
      <c r="V478" s="6"/>
      <c r="W478" s="7"/>
      <c r="X478" s="5">
        <f>AA469 * (1 - AA469) * AC469 *AB478</f>
        <v>-9.2840131373541788E-4</v>
      </c>
      <c r="Y478" s="6"/>
      <c r="Z478" s="6"/>
      <c r="AA478" s="7"/>
      <c r="AB478" s="5">
        <f>$P$19 - AE469</f>
        <v>1.185192951976749E-2</v>
      </c>
      <c r="AC478" s="6"/>
      <c r="AD478" s="6"/>
      <c r="AE478" s="7"/>
    </row>
    <row r="479" spans="1:31" x14ac:dyDescent="0.3">
      <c r="B479" s="5">
        <f>E470 * (1 - E470) * (G470 * F478 + G472 * F479)</f>
        <v>-1.1592403788659982E-4</v>
      </c>
      <c r="C479" s="6"/>
      <c r="D479" s="6"/>
      <c r="E479" s="7"/>
      <c r="F479" s="5">
        <f>J470 * (1 - J470) * K470 * J478</f>
        <v>-4.5832407996180156E-3</v>
      </c>
      <c r="G479" s="6"/>
      <c r="H479" s="6"/>
      <c r="I479" s="7"/>
      <c r="T479" s="5">
        <f>W470 * (1 - W470) * (Y470 * X478 + Y472 * X479)</f>
        <v>1.1992548851228268E-5</v>
      </c>
      <c r="U479" s="6"/>
      <c r="V479" s="6"/>
      <c r="W479" s="7"/>
      <c r="X479" s="5">
        <f>AB470 * (1 - AB470) * AC470 * AB478</f>
        <v>5.9753953743502922E-4</v>
      </c>
      <c r="Y479" s="6"/>
      <c r="Z479" s="6"/>
      <c r="AA479" s="7"/>
    </row>
    <row r="481" spans="2:31" x14ac:dyDescent="0.3">
      <c r="B481" s="8" t="s">
        <v>4</v>
      </c>
      <c r="C481" s="8"/>
      <c r="D481" s="8"/>
      <c r="E481" s="8"/>
      <c r="F481" s="8" t="s">
        <v>5</v>
      </c>
      <c r="G481" s="8"/>
      <c r="H481" s="8"/>
      <c r="I481" s="8"/>
      <c r="J481" s="8" t="s">
        <v>6</v>
      </c>
      <c r="K481" s="8"/>
      <c r="L481" s="8"/>
      <c r="M481" s="8"/>
      <c r="T481" s="9" t="s">
        <v>4</v>
      </c>
      <c r="U481" s="10"/>
      <c r="V481" s="10"/>
      <c r="W481" s="11"/>
      <c r="X481" s="9" t="s">
        <v>5</v>
      </c>
      <c r="Y481" s="10"/>
      <c r="Z481" s="10"/>
      <c r="AA481" s="11"/>
      <c r="AB481" s="9" t="s">
        <v>6</v>
      </c>
      <c r="AC481" s="10"/>
      <c r="AD481" s="10"/>
      <c r="AE481" s="11"/>
    </row>
    <row r="482" spans="2:31" x14ac:dyDescent="0.3"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T482" s="12"/>
      <c r="U482" s="13"/>
      <c r="V482" s="13"/>
      <c r="W482" s="14"/>
      <c r="X482" s="12"/>
      <c r="Y482" s="13"/>
      <c r="Z482" s="13"/>
      <c r="AA482" s="14"/>
      <c r="AB482" s="12"/>
      <c r="AC482" s="13"/>
      <c r="AD482" s="13"/>
      <c r="AE482" s="14"/>
    </row>
    <row r="483" spans="2:31" x14ac:dyDescent="0.3">
      <c r="B483" s="3" t="s">
        <v>0</v>
      </c>
      <c r="C483" s="3" t="s">
        <v>1</v>
      </c>
      <c r="D483" s="3" t="s">
        <v>2</v>
      </c>
      <c r="E483" s="3" t="s">
        <v>3</v>
      </c>
      <c r="F483" s="3" t="s">
        <v>0</v>
      </c>
      <c r="G483" s="3" t="s">
        <v>1</v>
      </c>
      <c r="H483" s="3" t="s">
        <v>2</v>
      </c>
      <c r="I483" s="3" t="s">
        <v>3</v>
      </c>
      <c r="J483" s="3" t="s">
        <v>0</v>
      </c>
      <c r="K483" s="3" t="s">
        <v>1</v>
      </c>
      <c r="L483" s="3" t="s">
        <v>2</v>
      </c>
      <c r="M483" s="3" t="s">
        <v>3</v>
      </c>
      <c r="T483" s="3">
        <f>$O$19</f>
        <v>0.2</v>
      </c>
      <c r="U483" s="3" t="s">
        <v>1</v>
      </c>
      <c r="V483" s="3" t="s">
        <v>2</v>
      </c>
      <c r="W483" s="3" t="s">
        <v>3</v>
      </c>
      <c r="X483" s="3" t="s">
        <v>0</v>
      </c>
      <c r="Y483" s="3" t="s">
        <v>1</v>
      </c>
      <c r="Z483" s="3" t="s">
        <v>2</v>
      </c>
      <c r="AA483" s="3" t="s">
        <v>3</v>
      </c>
      <c r="AB483" s="3" t="s">
        <v>0</v>
      </c>
      <c r="AC483" s="3" t="s">
        <v>1</v>
      </c>
      <c r="AD483" s="3" t="s">
        <v>2</v>
      </c>
      <c r="AE483" s="3" t="s">
        <v>3</v>
      </c>
    </row>
    <row r="484" spans="2:31" x14ac:dyDescent="0.3">
      <c r="B484" s="3">
        <f>$B$4</f>
        <v>0.1</v>
      </c>
      <c r="C484" s="3">
        <f>C469 + $O$7 * B469 * B478</f>
        <v>9.9937479345978936E-2</v>
      </c>
      <c r="D484" s="3">
        <f>B484*C484+B485*C485</f>
        <v>2.9987495869195781E-2</v>
      </c>
      <c r="E484" s="3">
        <f>1/(1+EXP(-D484))</f>
        <v>0.50749631222087821</v>
      </c>
      <c r="F484" s="3">
        <f>E484</f>
        <v>0.50749631222087821</v>
      </c>
      <c r="G484" s="3">
        <f>G469 + $O$7 * F469 * F478</f>
        <v>0.10248475705357513</v>
      </c>
      <c r="H484" s="3">
        <f>F484*G484+F485*G485</f>
        <v>0.15681891092685796</v>
      </c>
      <c r="I484" s="3">
        <f>1/(1+EXP(-H484))</f>
        <v>0.53912458071140901</v>
      </c>
      <c r="J484" s="3">
        <f>I484</f>
        <v>0.53912458071140901</v>
      </c>
      <c r="K484" s="3">
        <f>K469 + $P$18 * J469 * J478</f>
        <v>-0.31537130648227546</v>
      </c>
      <c r="L484" s="3">
        <f>J484*K484+J485*K485</f>
        <v>-4.7539334991220011E-2</v>
      </c>
      <c r="M484" s="3">
        <f>1/(1+EXP(-L484))</f>
        <v>0.48811740404529652</v>
      </c>
      <c r="T484" s="3">
        <f t="shared" ref="T484:T490" si="98">$O$19</f>
        <v>0.2</v>
      </c>
      <c r="U484" s="3">
        <f>U469 + $O$7 * T469 * T478</f>
        <v>9.9937885958323522E-2</v>
      </c>
      <c r="V484" s="3">
        <f>T484*U484+T485*U485</f>
        <v>5.9975154383329399E-2</v>
      </c>
      <c r="W484" s="3">
        <f>1/(1+EXP(-V484))</f>
        <v>0.51498929579984198</v>
      </c>
      <c r="X484" s="3">
        <f>W484</f>
        <v>0.51498929579984198</v>
      </c>
      <c r="Y484" s="3">
        <f>Y469 + $O$7 * X469 * X478</f>
        <v>0.1024369453834687</v>
      </c>
      <c r="Z484" s="3">
        <f>X484*Y484+X485*Y485</f>
        <v>0.16106909233614675</v>
      </c>
      <c r="AA484" s="3">
        <f>1/(1+EXP(-Z484))</f>
        <v>0.54018044300643209</v>
      </c>
      <c r="AB484" s="3">
        <f>AA484</f>
        <v>0.54018044300643209</v>
      </c>
      <c r="AC484" s="3">
        <f>AC469 +  $P$19 * AB469 * AB478</f>
        <v>-0.31217014087975459</v>
      </c>
      <c r="AD484" s="3">
        <f>AB484*AC484+AB485*AC485</f>
        <v>-4.5681721785784654E-2</v>
      </c>
      <c r="AE484" s="3">
        <f>1/(1+EXP(-AD484))</f>
        <v>0.4885815551708006</v>
      </c>
    </row>
    <row r="485" spans="2:31" x14ac:dyDescent="0.3">
      <c r="B485" s="3">
        <f>$B$5</f>
        <v>0.1</v>
      </c>
      <c r="C485" s="3">
        <f>C470 + $O$7 * B470 * B478</f>
        <v>0.19993747934597886</v>
      </c>
      <c r="D485" s="3">
        <f>B484*C486+B485*C487</f>
        <v>6.9984904931906122E-2</v>
      </c>
      <c r="E485" s="3">
        <f>1/(1+EXP(-D485))</f>
        <v>0.517489088517463</v>
      </c>
      <c r="F485" s="3">
        <f>E485</f>
        <v>0.517489088517463</v>
      </c>
      <c r="G485" s="3">
        <f>G470 + $O$7 * F470 * F478</f>
        <v>0.20253233737464421</v>
      </c>
      <c r="H485" s="3">
        <f>F484*G486+F485*G487</f>
        <v>0.35452833393761868</v>
      </c>
      <c r="I485" s="3">
        <f>1/(1+EXP(-H485))</f>
        <v>0.58771525567986282</v>
      </c>
      <c r="J485" s="3">
        <f>I485</f>
        <v>0.58771525567986282</v>
      </c>
      <c r="K485" s="3">
        <f>K470 + $P$18 * J470 * J479</f>
        <v>0.20840889733712384</v>
      </c>
      <c r="L485" s="3"/>
      <c r="M485" s="3"/>
      <c r="T485" s="3">
        <f t="shared" si="98"/>
        <v>0.2</v>
      </c>
      <c r="U485" s="3">
        <f>U470 + $O$7 * T470 * T478</f>
        <v>0.19993788595832346</v>
      </c>
      <c r="V485" s="3">
        <f>T484*U486+T485*U487</f>
        <v>0.13996990580420304</v>
      </c>
      <c r="W485" s="3">
        <f>1/(1+EXP(-V485))</f>
        <v>0.53493545834668932</v>
      </c>
      <c r="X485" s="3">
        <f>W485</f>
        <v>0.53493545834668932</v>
      </c>
      <c r="Y485" s="3">
        <f>Y470 + $O$7 * X470 * X478</f>
        <v>0.20248267389863084</v>
      </c>
      <c r="Z485" s="3">
        <f>X484*Y486+X485*Y487</f>
        <v>0.36367248636026994</v>
      </c>
      <c r="AA485" s="3">
        <f>1/(1+EXP(-Z485))</f>
        <v>0.58992914783835892</v>
      </c>
      <c r="AB485" s="3">
        <f>AA485</f>
        <v>0.58992914783835892</v>
      </c>
      <c r="AC485" s="3">
        <f>AC470 +  $P$19 * AB470 * AB479</f>
        <v>0.20840889733712384</v>
      </c>
      <c r="AD485" s="3"/>
      <c r="AE485" s="3"/>
    </row>
    <row r="486" spans="2:31" x14ac:dyDescent="0.3">
      <c r="B486" s="3">
        <f>$B$6</f>
        <v>0.1</v>
      </c>
      <c r="C486" s="3">
        <f>C471 + $O$7 * B469 * B479</f>
        <v>0.29992452465953057</v>
      </c>
      <c r="D486" s="3"/>
      <c r="E486" s="3"/>
      <c r="F486" s="3"/>
      <c r="G486" s="3">
        <f>G471 + $O$7 * F469 * F479</f>
        <v>0.29544924158076791</v>
      </c>
      <c r="H486" s="3"/>
      <c r="I486" s="3"/>
      <c r="J486" s="3"/>
      <c r="K486" s="3"/>
      <c r="L486" s="3"/>
      <c r="M486" s="3"/>
      <c r="T486" s="3">
        <f t="shared" si="98"/>
        <v>0.2</v>
      </c>
      <c r="U486" s="3">
        <f>U471 + $O$7 * T469 * T479</f>
        <v>0.29992476451050759</v>
      </c>
      <c r="V486" s="3"/>
      <c r="W486" s="3"/>
      <c r="X486" s="3"/>
      <c r="Y486" s="3">
        <f>Y471 + $O$7 * X469 * X479</f>
        <v>0.29548001422490006</v>
      </c>
      <c r="Z486" s="3"/>
      <c r="AA486" s="3"/>
      <c r="AB486" s="3"/>
      <c r="AC486" s="3"/>
      <c r="AD486" s="3"/>
      <c r="AE486" s="3"/>
    </row>
    <row r="487" spans="2:31" x14ac:dyDescent="0.3">
      <c r="B487" s="3">
        <f>$B$7</f>
        <v>0.1</v>
      </c>
      <c r="C487" s="3">
        <f>C472 + $O$7 * B470* B479</f>
        <v>0.3999245246595306</v>
      </c>
      <c r="D487" s="3"/>
      <c r="E487" s="3"/>
      <c r="F487" s="3"/>
      <c r="G487" s="3">
        <f>G472 + $O$7 * F470* F479</f>
        <v>0.39534927001657855</v>
      </c>
      <c r="H487" s="3"/>
      <c r="I487" s="3"/>
      <c r="J487" s="3"/>
      <c r="K487" s="3"/>
      <c r="L487" s="3"/>
      <c r="M487" s="3"/>
      <c r="T487" s="3">
        <f t="shared" si="98"/>
        <v>0.2</v>
      </c>
      <c r="U487" s="3">
        <f>U472 + $O$7 * T470* T479</f>
        <v>0.39992476451050762</v>
      </c>
      <c r="V487" s="3"/>
      <c r="W487" s="3"/>
      <c r="X487" s="3"/>
      <c r="Y487" s="3">
        <f>Y472 + $O$7 * X470* X479</f>
        <v>0.39538123452378615</v>
      </c>
      <c r="Z487" s="3"/>
      <c r="AA487" s="3"/>
      <c r="AB487" s="3"/>
      <c r="AC487" s="3"/>
      <c r="AD487" s="3"/>
      <c r="AE487" s="3"/>
    </row>
    <row r="488" spans="2:31" x14ac:dyDescent="0.3">
      <c r="B488" s="3">
        <f>$B$8</f>
        <v>0.1</v>
      </c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T488" s="3">
        <f t="shared" si="98"/>
        <v>0.2</v>
      </c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 spans="2:31" x14ac:dyDescent="0.3">
      <c r="B489" s="3">
        <f>$B$9</f>
        <v>0.1</v>
      </c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T489" s="3">
        <f t="shared" si="98"/>
        <v>0.2</v>
      </c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 spans="2:31" x14ac:dyDescent="0.3">
      <c r="B490" s="3">
        <f>$B$10</f>
        <v>0.1</v>
      </c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T490" s="3">
        <f t="shared" si="98"/>
        <v>0.2</v>
      </c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 spans="2:31" x14ac:dyDescent="0.3">
      <c r="B491" s="3">
        <f>$B$11</f>
        <v>0.1</v>
      </c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T491" s="3">
        <f>$B$11</f>
        <v>0.1</v>
      </c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7" spans="1:31" x14ac:dyDescent="0.3">
      <c r="B497" s="8" t="s">
        <v>4</v>
      </c>
      <c r="C497" s="8"/>
      <c r="D497" s="8"/>
      <c r="E497" s="8"/>
      <c r="F497" s="8" t="s">
        <v>5</v>
      </c>
      <c r="G497" s="8"/>
      <c r="H497" s="8"/>
      <c r="I497" s="8"/>
      <c r="J497" s="8" t="s">
        <v>6</v>
      </c>
      <c r="K497" s="8"/>
      <c r="L497" s="8"/>
      <c r="M497" s="8"/>
      <c r="T497" s="9" t="s">
        <v>4</v>
      </c>
      <c r="U497" s="10"/>
      <c r="V497" s="10"/>
      <c r="W497" s="11"/>
      <c r="X497" s="9" t="s">
        <v>5</v>
      </c>
      <c r="Y497" s="10"/>
      <c r="Z497" s="10"/>
      <c r="AA497" s="11"/>
      <c r="AB497" s="9" t="s">
        <v>6</v>
      </c>
      <c r="AC497" s="10"/>
      <c r="AD497" s="10"/>
      <c r="AE497" s="11"/>
    </row>
    <row r="498" spans="1:31" x14ac:dyDescent="0.3"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T498" s="12"/>
      <c r="U498" s="13"/>
      <c r="V498" s="13"/>
      <c r="W498" s="14"/>
      <c r="X498" s="12"/>
      <c r="Y498" s="13"/>
      <c r="Z498" s="13"/>
      <c r="AA498" s="14"/>
      <c r="AB498" s="12"/>
      <c r="AC498" s="13"/>
      <c r="AD498" s="13"/>
      <c r="AE498" s="14"/>
    </row>
    <row r="499" spans="1:31" x14ac:dyDescent="0.3">
      <c r="B499" s="3" t="s">
        <v>0</v>
      </c>
      <c r="C499" s="3" t="s">
        <v>1</v>
      </c>
      <c r="D499" s="3" t="s">
        <v>2</v>
      </c>
      <c r="E499" s="3" t="s">
        <v>3</v>
      </c>
      <c r="F499" s="3" t="s">
        <v>0</v>
      </c>
      <c r="G499" s="3" t="s">
        <v>1</v>
      </c>
      <c r="H499" s="3" t="s">
        <v>2</v>
      </c>
      <c r="I499" s="3" t="s">
        <v>3</v>
      </c>
      <c r="J499" s="3" t="s">
        <v>0</v>
      </c>
      <c r="K499" s="3" t="s">
        <v>1</v>
      </c>
      <c r="L499" s="3" t="s">
        <v>2</v>
      </c>
      <c r="M499" s="3" t="s">
        <v>3</v>
      </c>
      <c r="T499" s="3" t="s">
        <v>0</v>
      </c>
      <c r="U499" s="3" t="s">
        <v>1</v>
      </c>
      <c r="V499" s="3" t="s">
        <v>2</v>
      </c>
      <c r="W499" s="3" t="s">
        <v>3</v>
      </c>
      <c r="X499" s="3" t="s">
        <v>0</v>
      </c>
      <c r="Y499" s="3" t="s">
        <v>1</v>
      </c>
      <c r="Z499" s="3" t="s">
        <v>2</v>
      </c>
      <c r="AA499" s="3" t="s">
        <v>3</v>
      </c>
      <c r="AB499" s="3" t="s">
        <v>0</v>
      </c>
      <c r="AC499" s="3" t="s">
        <v>1</v>
      </c>
      <c r="AD499" s="3" t="s">
        <v>2</v>
      </c>
      <c r="AE499" s="3" t="s">
        <v>3</v>
      </c>
    </row>
    <row r="500" spans="1:31" x14ac:dyDescent="0.3">
      <c r="B500" s="3">
        <f>$B$4</f>
        <v>0.1</v>
      </c>
      <c r="C500" s="3">
        <f>U484</f>
        <v>9.9937885958323522E-2</v>
      </c>
      <c r="D500" s="3">
        <f>B500*C500+B501*C501</f>
        <v>2.9987577191664699E-2</v>
      </c>
      <c r="E500" s="3">
        <f>1/(1+EXP(-D500))</f>
        <v>0.5074963325469255</v>
      </c>
      <c r="F500" s="3">
        <f>E500</f>
        <v>0.5074963325469255</v>
      </c>
      <c r="G500" s="3">
        <f>Y484</f>
        <v>0.1024369453834687</v>
      </c>
      <c r="H500" s="3">
        <f>F500*G500+F501*G501</f>
        <v>0.15676895088111364</v>
      </c>
      <c r="I500" s="3">
        <f>1/(1+EXP(-H500))</f>
        <v>0.53911216715119259</v>
      </c>
      <c r="J500" s="3">
        <f>I500</f>
        <v>0.53911216715119259</v>
      </c>
      <c r="K500" s="3">
        <f>AC484</f>
        <v>-0.31217014087975459</v>
      </c>
      <c r="L500" s="3">
        <f>J500*K500+J501*K501</f>
        <v>-4.580800829450396E-2</v>
      </c>
      <c r="M500" s="3">
        <f>1/(1+EXP(-L500))</f>
        <v>0.48855000005451149</v>
      </c>
      <c r="T500" s="3">
        <f>$O$19</f>
        <v>0.2</v>
      </c>
      <c r="U500" s="3">
        <f>C515</f>
        <v>9.9936342046203233E-2</v>
      </c>
      <c r="V500" s="3">
        <f>T500*U500+T501*U501</f>
        <v>5.9974536818481278E-2</v>
      </c>
      <c r="W500" s="3">
        <f>1/(1+EXP(-V500))</f>
        <v>0.5149891415473824</v>
      </c>
      <c r="X500" s="3">
        <f>W500</f>
        <v>0.5149891415473824</v>
      </c>
      <c r="Y500" s="3">
        <f>G515</f>
        <v>0.10278551313980357</v>
      </c>
      <c r="Z500" s="3">
        <f>X500*Y500+X501*Y501</f>
        <v>0.16143869886516637</v>
      </c>
      <c r="AA500" s="3">
        <f>1/(1+EXP(-Z500))</f>
        <v>0.54027224655635775</v>
      </c>
      <c r="AB500" s="3">
        <f>AA500</f>
        <v>0.54027224655635775</v>
      </c>
      <c r="AC500" s="3">
        <f>K515</f>
        <v>-0.33126549385200493</v>
      </c>
      <c r="AD500" s="3">
        <f>AB500*AC500+AB501*AC501</f>
        <v>-5.6039206780482881E-2</v>
      </c>
      <c r="AE500" s="3">
        <f>1/(1+EXP(-AD500))</f>
        <v>0.4859938635104421</v>
      </c>
    </row>
    <row r="501" spans="1:31" x14ac:dyDescent="0.3">
      <c r="B501" s="3">
        <f>$B$5</f>
        <v>0.1</v>
      </c>
      <c r="C501" s="3">
        <f>U485</f>
        <v>0.19993788595832346</v>
      </c>
      <c r="D501" s="3">
        <f>B500*C502+B501*C503</f>
        <v>6.9984952902101522E-2</v>
      </c>
      <c r="E501" s="3">
        <f>1/(1+EXP(-D501))</f>
        <v>0.51748910049533925</v>
      </c>
      <c r="F501" s="3">
        <f>E501</f>
        <v>0.51748910049533925</v>
      </c>
      <c r="G501" s="3">
        <f t="shared" ref="G501:G503" si="99">Y485</f>
        <v>0.20248267389863084</v>
      </c>
      <c r="H501" s="3">
        <f>F500*G502+F501*G503</f>
        <v>0.35456050296650105</v>
      </c>
      <c r="I501" s="3">
        <f>1/(1+EXP(-H501))</f>
        <v>0.58772305040767125</v>
      </c>
      <c r="J501" s="3">
        <f>I501</f>
        <v>0.58772305040767125</v>
      </c>
      <c r="K501" s="3">
        <f>AC485</f>
        <v>0.20840889733712384</v>
      </c>
      <c r="L501" s="3"/>
      <c r="M501" s="3"/>
      <c r="T501" s="3">
        <f t="shared" ref="T501:T507" si="100">$O$19</f>
        <v>0.2</v>
      </c>
      <c r="U501" s="3">
        <f t="shared" ref="U501:U503" si="101">C516</f>
        <v>0.19993634204620317</v>
      </c>
      <c r="V501" s="3">
        <f>T500*U502+T501*U503</f>
        <v>0.13996952899210052</v>
      </c>
      <c r="W501" s="3">
        <f>1/(1+EXP(-V501))</f>
        <v>0.5349353646035564</v>
      </c>
      <c r="X501" s="3">
        <f>W501</f>
        <v>0.5349353646035564</v>
      </c>
      <c r="Y501" s="3">
        <f t="shared" ref="Y501:Y503" si="102">G516</f>
        <v>0.20283810506752648</v>
      </c>
      <c r="Z501" s="3">
        <f>X500*Y502+X501*Y503</f>
        <v>0.36343174987555571</v>
      </c>
      <c r="AA501" s="3">
        <f>1/(1+EXP(-Z501))</f>
        <v>0.5898709093531721</v>
      </c>
      <c r="AB501" s="3">
        <f>AA501</f>
        <v>0.5898709093531721</v>
      </c>
      <c r="AC501" s="3">
        <f>K516</f>
        <v>0.20840889733712384</v>
      </c>
      <c r="AD501" s="3"/>
      <c r="AE501" s="3"/>
    </row>
    <row r="502" spans="1:31" x14ac:dyDescent="0.3">
      <c r="B502" s="3">
        <f>$B$6</f>
        <v>0.1</v>
      </c>
      <c r="C502" s="3">
        <f t="shared" ref="C502:C503" si="103">U486</f>
        <v>0.29992476451050759</v>
      </c>
      <c r="D502" s="3"/>
      <c r="E502" s="3"/>
      <c r="F502" s="3"/>
      <c r="G502" s="3">
        <f t="shared" si="99"/>
        <v>0.29548001422490006</v>
      </c>
      <c r="H502" s="3"/>
      <c r="I502" s="3"/>
      <c r="J502" s="3"/>
      <c r="K502" s="3"/>
      <c r="L502" s="3"/>
      <c r="M502" s="3"/>
      <c r="T502" s="3">
        <f t="shared" si="100"/>
        <v>0.2</v>
      </c>
      <c r="U502" s="3">
        <f t="shared" si="101"/>
        <v>0.29992382248025123</v>
      </c>
      <c r="V502" s="3"/>
      <c r="W502" s="3"/>
      <c r="X502" s="3"/>
      <c r="Y502" s="3">
        <f t="shared" si="102"/>
        <v>0.29525308025644303</v>
      </c>
      <c r="Z502" s="3"/>
      <c r="AA502" s="3"/>
      <c r="AB502" s="3"/>
      <c r="AC502" s="3"/>
      <c r="AD502" s="3"/>
      <c r="AE502" s="3"/>
    </row>
    <row r="503" spans="1:31" x14ac:dyDescent="0.3">
      <c r="B503" s="3">
        <f>$B$7</f>
        <v>0.1</v>
      </c>
      <c r="C503" s="3">
        <f t="shared" si="103"/>
        <v>0.39992476451050762</v>
      </c>
      <c r="D503" s="3"/>
      <c r="E503" s="3"/>
      <c r="F503" s="3"/>
      <c r="G503" s="3">
        <f t="shared" si="99"/>
        <v>0.39538123452378615</v>
      </c>
      <c r="H503" s="3"/>
      <c r="I503" s="3"/>
      <c r="J503" s="3"/>
      <c r="K503" s="3"/>
      <c r="L503" s="3"/>
      <c r="M503" s="3"/>
      <c r="T503" s="3">
        <f t="shared" si="100"/>
        <v>0.2</v>
      </c>
      <c r="U503" s="3">
        <f t="shared" si="101"/>
        <v>0.39992382248025127</v>
      </c>
      <c r="V503" s="3"/>
      <c r="W503" s="3"/>
      <c r="X503" s="3"/>
      <c r="Y503" s="3">
        <f t="shared" si="102"/>
        <v>0.3951498321516364</v>
      </c>
      <c r="Z503" s="3"/>
      <c r="AA503" s="3"/>
      <c r="AB503" s="3"/>
      <c r="AC503" s="3"/>
      <c r="AD503" s="3"/>
      <c r="AE503" s="3"/>
    </row>
    <row r="504" spans="1:31" x14ac:dyDescent="0.3">
      <c r="B504" s="3">
        <f>$B$8</f>
        <v>0.1</v>
      </c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T504" s="3">
        <f t="shared" si="100"/>
        <v>0.2</v>
      </c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 spans="1:31" x14ac:dyDescent="0.3">
      <c r="B505" s="3">
        <f>$B$9</f>
        <v>0.1</v>
      </c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T505" s="3">
        <f t="shared" si="100"/>
        <v>0.2</v>
      </c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 spans="1:31" x14ac:dyDescent="0.3">
      <c r="B506" s="3">
        <f>$B$10</f>
        <v>0.1</v>
      </c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T506" s="3">
        <f t="shared" si="100"/>
        <v>0.2</v>
      </c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 spans="1:31" x14ac:dyDescent="0.3">
      <c r="B507" s="3">
        <f>$B$11</f>
        <v>0.1</v>
      </c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T507" s="3">
        <f t="shared" si="100"/>
        <v>0.2</v>
      </c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9" spans="1:31" x14ac:dyDescent="0.3">
      <c r="A509" s="4" t="s">
        <v>7</v>
      </c>
      <c r="B509" s="5">
        <f>E500 * (1 - E500) * (G500 * F509 + G502 * F510)</f>
        <v>-1.5439121202954364E-4</v>
      </c>
      <c r="C509" s="6"/>
      <c r="D509" s="6"/>
      <c r="E509" s="7"/>
      <c r="F509" s="5">
        <f>I500 * (1 - I500) * K500 *J509</f>
        <v>6.8683798084912409E-3</v>
      </c>
      <c r="G509" s="6"/>
      <c r="H509" s="6"/>
      <c r="I509" s="7"/>
      <c r="J509" s="5">
        <f>$P$18 - M500</f>
        <v>-8.8550000054511468E-2</v>
      </c>
      <c r="K509" s="6"/>
      <c r="L509" s="6"/>
      <c r="M509" s="7"/>
      <c r="S509" s="4" t="s">
        <v>7</v>
      </c>
      <c r="T509" s="5">
        <f>W500 * (1 - W500) * (Y500 * X509 + Y502 * X510)</f>
        <v>2.2492007451836705E-5</v>
      </c>
      <c r="U509" s="6"/>
      <c r="V509" s="6"/>
      <c r="W509" s="7"/>
      <c r="X509" s="5">
        <f>AA500 * (1 - AA500) * AC500 *AB509</f>
        <v>-1.152412434378565E-3</v>
      </c>
      <c r="Y509" s="6"/>
      <c r="Z509" s="6"/>
      <c r="AA509" s="7"/>
      <c r="AB509" s="5">
        <f>$P$19 - AE500</f>
        <v>1.4006136489557897E-2</v>
      </c>
      <c r="AC509" s="6"/>
      <c r="AD509" s="6"/>
      <c r="AE509" s="7"/>
    </row>
    <row r="510" spans="1:31" x14ac:dyDescent="0.3">
      <c r="B510" s="5">
        <f>E501 * (1 - E501) * (G501 * F509 + G503 * F510)</f>
        <v>-9.4203025633243255E-5</v>
      </c>
      <c r="C510" s="6"/>
      <c r="D510" s="6"/>
      <c r="E510" s="7"/>
      <c r="F510" s="5">
        <f>J501 * (1 - J501) * K501 * J509</f>
        <v>-4.4716376041210497E-3</v>
      </c>
      <c r="G510" s="6"/>
      <c r="H510" s="6"/>
      <c r="I510" s="7"/>
      <c r="T510" s="5">
        <f>W501 * (1 - W501) * (Y501 * X509 + Y503 * X510)</f>
        <v>1.1267638918503356E-5</v>
      </c>
      <c r="U510" s="6"/>
      <c r="V510" s="6"/>
      <c r="W510" s="7"/>
      <c r="X510" s="5">
        <f>AB501 * (1 - AB501) * AC501 * AB509</f>
        <v>7.0617471564006105E-4</v>
      </c>
      <c r="Y510" s="6"/>
      <c r="Z510" s="6"/>
      <c r="AA510" s="7"/>
    </row>
    <row r="512" spans="1:31" x14ac:dyDescent="0.3">
      <c r="B512" s="8" t="s">
        <v>4</v>
      </c>
      <c r="C512" s="8"/>
      <c r="D512" s="8"/>
      <c r="E512" s="8"/>
      <c r="F512" s="8" t="s">
        <v>5</v>
      </c>
      <c r="G512" s="8"/>
      <c r="H512" s="8"/>
      <c r="I512" s="8"/>
      <c r="J512" s="8" t="s">
        <v>6</v>
      </c>
      <c r="K512" s="8"/>
      <c r="L512" s="8"/>
      <c r="M512" s="8"/>
      <c r="T512" s="9" t="s">
        <v>4</v>
      </c>
      <c r="U512" s="10"/>
      <c r="V512" s="10"/>
      <c r="W512" s="11"/>
      <c r="X512" s="9" t="s">
        <v>5</v>
      </c>
      <c r="Y512" s="10"/>
      <c r="Z512" s="10"/>
      <c r="AA512" s="11"/>
      <c r="AB512" s="9" t="s">
        <v>6</v>
      </c>
      <c r="AC512" s="10"/>
      <c r="AD512" s="10"/>
      <c r="AE512" s="11"/>
    </row>
    <row r="513" spans="2:31" x14ac:dyDescent="0.3"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T513" s="12"/>
      <c r="U513" s="13"/>
      <c r="V513" s="13"/>
      <c r="W513" s="14"/>
      <c r="X513" s="12"/>
      <c r="Y513" s="13"/>
      <c r="Z513" s="13"/>
      <c r="AA513" s="14"/>
      <c r="AB513" s="12"/>
      <c r="AC513" s="13"/>
      <c r="AD513" s="13"/>
      <c r="AE513" s="14"/>
    </row>
    <row r="514" spans="2:31" x14ac:dyDescent="0.3">
      <c r="B514" s="3" t="s">
        <v>0</v>
      </c>
      <c r="C514" s="3" t="s">
        <v>1</v>
      </c>
      <c r="D514" s="3" t="s">
        <v>2</v>
      </c>
      <c r="E514" s="3" t="s">
        <v>3</v>
      </c>
      <c r="F514" s="3" t="s">
        <v>0</v>
      </c>
      <c r="G514" s="3" t="s">
        <v>1</v>
      </c>
      <c r="H514" s="3" t="s">
        <v>2</v>
      </c>
      <c r="I514" s="3" t="s">
        <v>3</v>
      </c>
      <c r="J514" s="3" t="s">
        <v>0</v>
      </c>
      <c r="K514" s="3" t="s">
        <v>1</v>
      </c>
      <c r="L514" s="3" t="s">
        <v>2</v>
      </c>
      <c r="M514" s="3" t="s">
        <v>3</v>
      </c>
      <c r="T514" s="3">
        <f>$O$19</f>
        <v>0.2</v>
      </c>
      <c r="U514" s="3" t="s">
        <v>1</v>
      </c>
      <c r="V514" s="3" t="s">
        <v>2</v>
      </c>
      <c r="W514" s="3" t="s">
        <v>3</v>
      </c>
      <c r="X514" s="3" t="s">
        <v>0</v>
      </c>
      <c r="Y514" s="3" t="s">
        <v>1</v>
      </c>
      <c r="Z514" s="3" t="s">
        <v>2</v>
      </c>
      <c r="AA514" s="3" t="s">
        <v>3</v>
      </c>
      <c r="AB514" s="3" t="s">
        <v>0</v>
      </c>
      <c r="AC514" s="3" t="s">
        <v>1</v>
      </c>
      <c r="AD514" s="3" t="s">
        <v>2</v>
      </c>
      <c r="AE514" s="3" t="s">
        <v>3</v>
      </c>
    </row>
    <row r="515" spans="2:31" x14ac:dyDescent="0.3">
      <c r="B515" s="3">
        <f>$B$4</f>
        <v>0.1</v>
      </c>
      <c r="C515" s="3">
        <f>C500 + $O$7 * B500 * B509</f>
        <v>9.9936342046203233E-2</v>
      </c>
      <c r="D515" s="3">
        <f>B515*C515+B516*C516</f>
        <v>2.9987268409240639E-2</v>
      </c>
      <c r="E515" s="3">
        <f>1/(1+EXP(-D515))</f>
        <v>0.50749625536867138</v>
      </c>
      <c r="F515" s="3">
        <f>E515</f>
        <v>0.50749625536867138</v>
      </c>
      <c r="G515" s="3">
        <f>G500 + $O$7 * F500 * F509</f>
        <v>0.10278551313980357</v>
      </c>
      <c r="H515" s="3">
        <f>F515*G515+F516*G516</f>
        <v>0.15712976201987849</v>
      </c>
      <c r="I515" s="3">
        <f>1/(1+EXP(-H515))</f>
        <v>0.53920181671473533</v>
      </c>
      <c r="J515" s="3">
        <f>I515</f>
        <v>0.53920181671473533</v>
      </c>
      <c r="K515" s="3">
        <f>K500 + $P$18 * J500 * J509</f>
        <v>-0.33126549385200493</v>
      </c>
      <c r="L515" s="3">
        <f>J515*K515+J516*K516</f>
        <v>-5.6144108470562962E-2</v>
      </c>
      <c r="M515" s="3">
        <f>1/(1+EXP(-L515))</f>
        <v>0.48596765870520753</v>
      </c>
      <c r="T515" s="3">
        <f t="shared" ref="T515:T521" si="104">$O$19</f>
        <v>0.2</v>
      </c>
      <c r="U515" s="3">
        <f>U500 + $O$7 * T500 * T509</f>
        <v>9.9936791886352266E-2</v>
      </c>
      <c r="V515" s="3">
        <f>T515*U515+T516*U516</f>
        <v>5.9974716754540899E-2</v>
      </c>
      <c r="W515" s="3">
        <f>1/(1+EXP(-V515))</f>
        <v>0.51498918649097014</v>
      </c>
      <c r="X515" s="3">
        <f>W515</f>
        <v>0.51498918649097014</v>
      </c>
      <c r="Y515" s="3">
        <f>Y500 + $O$7 * X500 * X509</f>
        <v>0.10272616515077465</v>
      </c>
      <c r="Z515" s="3">
        <f>X515*Y515+X516*Y516</f>
        <v>0.16137516750412698</v>
      </c>
      <c r="AA515" s="3">
        <f>1/(1+EXP(-Z515))</f>
        <v>0.54025646671431171</v>
      </c>
      <c r="AB515" s="3">
        <f>AA515</f>
        <v>0.54025646671431171</v>
      </c>
      <c r="AC515" s="3">
        <f>AC500 +  $P$19 * AB500 * AB509</f>
        <v>-0.32748193043861074</v>
      </c>
      <c r="AD515" s="3">
        <f>AB515*AC515+AB516*AC516</f>
        <v>-5.3987920623934246E-2</v>
      </c>
      <c r="AE515" s="3">
        <f>1/(1+EXP(-AD515))</f>
        <v>0.48650629718779997</v>
      </c>
    </row>
    <row r="516" spans="2:31" x14ac:dyDescent="0.3">
      <c r="B516" s="3">
        <f>$B$5</f>
        <v>0.1</v>
      </c>
      <c r="C516" s="3">
        <f>C501 + $O$7 * B501 * B509</f>
        <v>0.19993634204620317</v>
      </c>
      <c r="D516" s="3">
        <f>B515*C517+B516*C518</f>
        <v>6.9984764496050261E-2</v>
      </c>
      <c r="E516" s="3">
        <f>1/(1+EXP(-D516))</f>
        <v>0.5174890534514538</v>
      </c>
      <c r="F516" s="3">
        <f>E516</f>
        <v>0.5174890534514538</v>
      </c>
      <c r="G516" s="3">
        <f>G501 + $O$7 * F501 * F509</f>
        <v>0.20283810506752648</v>
      </c>
      <c r="H516" s="3">
        <f>F515*G517+F516*G518</f>
        <v>0.3543255452278618</v>
      </c>
      <c r="I516" s="3">
        <f>1/(1+EXP(-H516))</f>
        <v>0.58766611787799938</v>
      </c>
      <c r="J516" s="3">
        <f>I516</f>
        <v>0.58766611787799938</v>
      </c>
      <c r="K516" s="3">
        <f>K501 + $P$18 * J501 * J510</f>
        <v>0.20840889733712384</v>
      </c>
      <c r="L516" s="3"/>
      <c r="M516" s="3"/>
      <c r="T516" s="3">
        <f t="shared" si="104"/>
        <v>0.2</v>
      </c>
      <c r="U516" s="3">
        <f>U501 + $O$7 * T501 * T509</f>
        <v>0.19993679188635222</v>
      </c>
      <c r="V516" s="3">
        <f>T515*U517+T516*U518</f>
        <v>0.13996961913321188</v>
      </c>
      <c r="W516" s="3">
        <f>1/(1+EXP(-V516))</f>
        <v>0.53493538702881882</v>
      </c>
      <c r="X516" s="3">
        <f>W516</f>
        <v>0.53493538702881882</v>
      </c>
      <c r="Y516" s="3">
        <f>Y501 + $O$7 * X501 * X509</f>
        <v>0.20277645845095069</v>
      </c>
      <c r="Z516" s="3">
        <f>X515*Y517+X516*Y518</f>
        <v>0.36347070834041023</v>
      </c>
      <c r="AA516" s="3">
        <f>1/(1+EXP(-Z516))</f>
        <v>0.58988033427742226</v>
      </c>
      <c r="AB516" s="3">
        <f>AA516</f>
        <v>0.58988033427742226</v>
      </c>
      <c r="AC516" s="3">
        <f>AC501 +  $P$19 * AB501 * AB510</f>
        <v>0.20840889733712384</v>
      </c>
      <c r="AD516" s="3"/>
      <c r="AE516" s="3"/>
    </row>
    <row r="517" spans="2:31" x14ac:dyDescent="0.3">
      <c r="B517" s="3">
        <f>$B$6</f>
        <v>0.1</v>
      </c>
      <c r="C517" s="3">
        <f>C502 + $O$7 * B500 * B510</f>
        <v>0.29992382248025123</v>
      </c>
      <c r="D517" s="3"/>
      <c r="E517" s="3"/>
      <c r="F517" s="3"/>
      <c r="G517" s="3">
        <f>G502 + $O$7 * F500 * F510</f>
        <v>0.29525308025644303</v>
      </c>
      <c r="H517" s="3"/>
      <c r="I517" s="3"/>
      <c r="J517" s="3"/>
      <c r="K517" s="3"/>
      <c r="L517" s="3"/>
      <c r="M517" s="3"/>
      <c r="T517" s="3">
        <f t="shared" si="104"/>
        <v>0.2</v>
      </c>
      <c r="U517" s="3">
        <f>U502 + $O$7 * T500 * T510</f>
        <v>0.29992404783302962</v>
      </c>
      <c r="V517" s="3"/>
      <c r="W517" s="3"/>
      <c r="X517" s="3"/>
      <c r="Y517" s="3">
        <f>Y502 + $O$7 * X500 * X510</f>
        <v>0.29528944748750202</v>
      </c>
      <c r="Z517" s="3"/>
      <c r="AA517" s="3"/>
      <c r="AB517" s="3"/>
      <c r="AC517" s="3"/>
      <c r="AD517" s="3"/>
      <c r="AE517" s="3"/>
    </row>
    <row r="518" spans="2:31" x14ac:dyDescent="0.3">
      <c r="B518" s="3">
        <f>$B$7</f>
        <v>0.1</v>
      </c>
      <c r="C518" s="3">
        <f>C503 + $O$7 * B501* B510</f>
        <v>0.39992382248025127</v>
      </c>
      <c r="D518" s="3"/>
      <c r="E518" s="3"/>
      <c r="F518" s="3"/>
      <c r="G518" s="3">
        <f>G503 + $O$7 * F501* F510</f>
        <v>0.3951498321516364</v>
      </c>
      <c r="H518" s="3"/>
      <c r="I518" s="3"/>
      <c r="J518" s="3"/>
      <c r="K518" s="3"/>
      <c r="L518" s="3"/>
      <c r="M518" s="3"/>
      <c r="T518" s="3">
        <f t="shared" si="104"/>
        <v>0.2</v>
      </c>
      <c r="U518" s="3">
        <f>U503 + $O$7 * T501* T510</f>
        <v>0.39992404783302965</v>
      </c>
      <c r="V518" s="3"/>
      <c r="W518" s="3"/>
      <c r="X518" s="3"/>
      <c r="Y518" s="3">
        <f>Y503 + $O$7 * X501* X510</f>
        <v>0.39518760793453489</v>
      </c>
      <c r="Z518" s="3"/>
      <c r="AA518" s="3"/>
      <c r="AB518" s="3"/>
      <c r="AC518" s="3"/>
      <c r="AD518" s="3"/>
      <c r="AE518" s="3"/>
    </row>
    <row r="519" spans="2:31" x14ac:dyDescent="0.3">
      <c r="B519" s="3">
        <f>$B$8</f>
        <v>0.1</v>
      </c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T519" s="3">
        <f t="shared" si="104"/>
        <v>0.2</v>
      </c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 spans="2:31" x14ac:dyDescent="0.3">
      <c r="B520" s="3">
        <f>$B$9</f>
        <v>0.1</v>
      </c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T520" s="3">
        <f t="shared" si="104"/>
        <v>0.2</v>
      </c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 spans="2:31" x14ac:dyDescent="0.3">
      <c r="B521" s="3">
        <f>$B$10</f>
        <v>0.1</v>
      </c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T521" s="3">
        <f t="shared" si="104"/>
        <v>0.2</v>
      </c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 spans="2:31" x14ac:dyDescent="0.3">
      <c r="B522" s="3">
        <f>$B$11</f>
        <v>0.1</v>
      </c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T522" s="3">
        <f>$B$11</f>
        <v>0.1</v>
      </c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8" spans="2:31" x14ac:dyDescent="0.3">
      <c r="B528" s="8" t="s">
        <v>4</v>
      </c>
      <c r="C528" s="8"/>
      <c r="D528" s="8"/>
      <c r="E528" s="8"/>
      <c r="F528" s="8" t="s">
        <v>5</v>
      </c>
      <c r="G528" s="8"/>
      <c r="H528" s="8"/>
      <c r="I528" s="8"/>
      <c r="J528" s="8" t="s">
        <v>6</v>
      </c>
      <c r="K528" s="8"/>
      <c r="L528" s="8"/>
      <c r="M528" s="8"/>
      <c r="T528" s="9" t="s">
        <v>4</v>
      </c>
      <c r="U528" s="10"/>
      <c r="V528" s="10"/>
      <c r="W528" s="11"/>
      <c r="X528" s="9" t="s">
        <v>5</v>
      </c>
      <c r="Y528" s="10"/>
      <c r="Z528" s="10"/>
      <c r="AA528" s="11"/>
      <c r="AB528" s="9" t="s">
        <v>6</v>
      </c>
      <c r="AC528" s="10"/>
      <c r="AD528" s="10"/>
      <c r="AE528" s="11"/>
    </row>
    <row r="529" spans="1:31" x14ac:dyDescent="0.3"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T529" s="12"/>
      <c r="U529" s="13"/>
      <c r="V529" s="13"/>
      <c r="W529" s="14"/>
      <c r="X529" s="12"/>
      <c r="Y529" s="13"/>
      <c r="Z529" s="13"/>
      <c r="AA529" s="14"/>
      <c r="AB529" s="12"/>
      <c r="AC529" s="13"/>
      <c r="AD529" s="13"/>
      <c r="AE529" s="14"/>
    </row>
    <row r="530" spans="1:31" x14ac:dyDescent="0.3">
      <c r="B530" s="3" t="s">
        <v>0</v>
      </c>
      <c r="C530" s="3" t="s">
        <v>1</v>
      </c>
      <c r="D530" s="3" t="s">
        <v>2</v>
      </c>
      <c r="E530" s="3" t="s">
        <v>3</v>
      </c>
      <c r="F530" s="3" t="s">
        <v>0</v>
      </c>
      <c r="G530" s="3" t="s">
        <v>1</v>
      </c>
      <c r="H530" s="3" t="s">
        <v>2</v>
      </c>
      <c r="I530" s="3" t="s">
        <v>3</v>
      </c>
      <c r="J530" s="3" t="s">
        <v>0</v>
      </c>
      <c r="K530" s="3" t="s">
        <v>1</v>
      </c>
      <c r="L530" s="3" t="s">
        <v>2</v>
      </c>
      <c r="M530" s="3" t="s">
        <v>3</v>
      </c>
      <c r="T530" s="3" t="s">
        <v>0</v>
      </c>
      <c r="U530" s="3" t="s">
        <v>1</v>
      </c>
      <c r="V530" s="3" t="s">
        <v>2</v>
      </c>
      <c r="W530" s="3" t="s">
        <v>3</v>
      </c>
      <c r="X530" s="3" t="s">
        <v>0</v>
      </c>
      <c r="Y530" s="3" t="s">
        <v>1</v>
      </c>
      <c r="Z530" s="3" t="s">
        <v>2</v>
      </c>
      <c r="AA530" s="3" t="s">
        <v>3</v>
      </c>
      <c r="AB530" s="3" t="s">
        <v>0</v>
      </c>
      <c r="AC530" s="3" t="s">
        <v>1</v>
      </c>
      <c r="AD530" s="3" t="s">
        <v>2</v>
      </c>
      <c r="AE530" s="3" t="s">
        <v>3</v>
      </c>
    </row>
    <row r="531" spans="1:31" x14ac:dyDescent="0.3">
      <c r="B531" s="3">
        <f>$B$4</f>
        <v>0.1</v>
      </c>
      <c r="C531" s="3">
        <f>U515</f>
        <v>9.9936791886352266E-2</v>
      </c>
      <c r="D531" s="3">
        <f>B531*C531+B532*C532</f>
        <v>2.998735837727045E-2</v>
      </c>
      <c r="E531" s="3">
        <f>1/(1+EXP(-D531))</f>
        <v>0.50749627785562312</v>
      </c>
      <c r="F531" s="3">
        <f>E531</f>
        <v>0.50749627785562312</v>
      </c>
      <c r="G531" s="3">
        <f>Y515</f>
        <v>0.10272616515077465</v>
      </c>
      <c r="H531" s="3">
        <f>F531*G531+F532*G532</f>
        <v>0.15706774628043718</v>
      </c>
      <c r="I531" s="3">
        <f>1/(1+EXP(-H531))</f>
        <v>0.53918640804711848</v>
      </c>
      <c r="J531" s="3">
        <f>I531</f>
        <v>0.53918640804711848</v>
      </c>
      <c r="K531" s="3">
        <f>AC515</f>
        <v>-0.32748193043861074</v>
      </c>
      <c r="L531" s="3">
        <f>J531*K531+J532*K532</f>
        <v>-5.4097038328761532E-2</v>
      </c>
      <c r="M531" s="3">
        <f>1/(1+EXP(-L531))</f>
        <v>0.48647903766991046</v>
      </c>
      <c r="T531" s="3">
        <f>$O$19</f>
        <v>0.2</v>
      </c>
      <c r="U531" s="3">
        <f>C546</f>
        <v>9.9935375334114493E-2</v>
      </c>
      <c r="V531" s="3">
        <f>T531*U531+T532*U532</f>
        <v>5.9974150133645793E-2</v>
      </c>
      <c r="W531" s="3">
        <f>1/(1+EXP(-V531))</f>
        <v>0.51498904496305109</v>
      </c>
      <c r="X531" s="3">
        <f>W531</f>
        <v>0.51498904496305109</v>
      </c>
      <c r="Y531" s="3">
        <f>G546</f>
        <v>0.10308326960523607</v>
      </c>
      <c r="Z531" s="3">
        <f>X531*Y531+X532*Y532</f>
        <v>0.16175383197157137</v>
      </c>
      <c r="AA531" s="3">
        <f>1/(1+EXP(-Z531))</f>
        <v>0.5403505177391229</v>
      </c>
      <c r="AB531" s="3">
        <f>AA531</f>
        <v>0.5403505177391229</v>
      </c>
      <c r="AC531" s="3">
        <f>K546</f>
        <v>-0.3461332591156549</v>
      </c>
      <c r="AD531" s="3">
        <f>AB531*AC531+AB532*AC532</f>
        <v>-6.4108829645670926E-2</v>
      </c>
      <c r="AE531" s="3">
        <f>1/(1+EXP(-AD531))</f>
        <v>0.48397827957459888</v>
      </c>
    </row>
    <row r="532" spans="1:31" x14ac:dyDescent="0.3">
      <c r="B532" s="3">
        <f>$B$5</f>
        <v>0.1</v>
      </c>
      <c r="C532" s="3">
        <f>U516</f>
        <v>0.19993679188635222</v>
      </c>
      <c r="D532" s="3">
        <f>B531*C533+B532*C534</f>
        <v>6.9984809566605938E-2</v>
      </c>
      <c r="E532" s="3">
        <f>1/(1+EXP(-D532))</f>
        <v>0.51748906470530709</v>
      </c>
      <c r="F532" s="3">
        <f>E532</f>
        <v>0.51748906470530709</v>
      </c>
      <c r="G532" s="3">
        <f t="shared" ref="G532:G534" si="105">Y516</f>
        <v>0.20277645845095069</v>
      </c>
      <c r="H532" s="3">
        <f>F531*G533+F532*G534</f>
        <v>0.35436356110312084</v>
      </c>
      <c r="I532" s="3">
        <f>1/(1+EXP(-H532))</f>
        <v>0.58767532965087355</v>
      </c>
      <c r="J532" s="3">
        <f>I532</f>
        <v>0.58767532965087355</v>
      </c>
      <c r="K532" s="3">
        <f>AC516</f>
        <v>0.20840889733712384</v>
      </c>
      <c r="L532" s="3"/>
      <c r="M532" s="3"/>
      <c r="T532" s="3">
        <f t="shared" ref="T532:T538" si="106">$O$19</f>
        <v>0.2</v>
      </c>
      <c r="U532" s="3">
        <f t="shared" ref="U532:U534" si="107">C547</f>
        <v>0.19993537533411443</v>
      </c>
      <c r="V532" s="3">
        <f>T531*U533+T532*U534</f>
        <v>0.13996932048785504</v>
      </c>
      <c r="W532" s="3">
        <f>1/(1+EXP(-V532))</f>
        <v>0.53493531273196981</v>
      </c>
      <c r="X532" s="3">
        <f>W532</f>
        <v>0.53493531273196981</v>
      </c>
      <c r="Y532" s="3">
        <f t="shared" ref="Y532:Y534" si="108">G547</f>
        <v>0.20314059442239502</v>
      </c>
      <c r="Z532" s="3">
        <f>X531*Y533+X532*Y534</f>
        <v>0.36323560357040402</v>
      </c>
      <c r="AA532" s="3">
        <f>1/(1+EXP(-Z532))</f>
        <v>0.58982345617116161</v>
      </c>
      <c r="AB532" s="3">
        <f>AA532</f>
        <v>0.58982345617116161</v>
      </c>
      <c r="AC532" s="3">
        <f>K547</f>
        <v>0.20840889733712384</v>
      </c>
      <c r="AD532" s="3"/>
      <c r="AE532" s="3"/>
    </row>
    <row r="533" spans="1:31" x14ac:dyDescent="0.3">
      <c r="B533" s="3">
        <f>$B$6</f>
        <v>0.1</v>
      </c>
      <c r="C533" s="3">
        <f t="shared" ref="C533:C534" si="109">U517</f>
        <v>0.29992404783302962</v>
      </c>
      <c r="D533" s="3"/>
      <c r="E533" s="3"/>
      <c r="F533" s="3"/>
      <c r="G533" s="3">
        <f t="shared" si="105"/>
        <v>0.29528944748750202</v>
      </c>
      <c r="H533" s="3"/>
      <c r="I533" s="3"/>
      <c r="J533" s="3"/>
      <c r="K533" s="3"/>
      <c r="L533" s="3"/>
      <c r="M533" s="3"/>
      <c r="T533" s="3">
        <f t="shared" si="106"/>
        <v>0.2</v>
      </c>
      <c r="U533" s="3">
        <f t="shared" si="107"/>
        <v>0.29992330121963762</v>
      </c>
      <c r="V533" s="3"/>
      <c r="W533" s="3"/>
      <c r="X533" s="3"/>
      <c r="Y533" s="3">
        <f t="shared" si="108"/>
        <v>0.29506781330337523</v>
      </c>
      <c r="Z533" s="3"/>
      <c r="AA533" s="3"/>
      <c r="AB533" s="3"/>
      <c r="AC533" s="3"/>
      <c r="AD533" s="3"/>
      <c r="AE533" s="3"/>
    </row>
    <row r="534" spans="1:31" x14ac:dyDescent="0.3">
      <c r="B534" s="3">
        <f>$B$7</f>
        <v>0.1</v>
      </c>
      <c r="C534" s="3">
        <f t="shared" si="109"/>
        <v>0.39992404783302965</v>
      </c>
      <c r="D534" s="3"/>
      <c r="E534" s="3"/>
      <c r="F534" s="3"/>
      <c r="G534" s="3">
        <f t="shared" si="105"/>
        <v>0.39518760793453489</v>
      </c>
      <c r="H534" s="3"/>
      <c r="I534" s="3"/>
      <c r="J534" s="3"/>
      <c r="K534" s="3"/>
      <c r="L534" s="3"/>
      <c r="M534" s="3"/>
      <c r="T534" s="3">
        <f t="shared" si="106"/>
        <v>0.2</v>
      </c>
      <c r="U534" s="3">
        <f t="shared" si="107"/>
        <v>0.39992330121963765</v>
      </c>
      <c r="V534" s="3"/>
      <c r="W534" s="3"/>
      <c r="X534" s="3"/>
      <c r="Y534" s="3">
        <f t="shared" si="108"/>
        <v>0.39496160969246874</v>
      </c>
      <c r="Z534" s="3"/>
      <c r="AA534" s="3"/>
      <c r="AB534" s="3"/>
      <c r="AC534" s="3"/>
      <c r="AD534" s="3"/>
      <c r="AE534" s="3"/>
    </row>
    <row r="535" spans="1:31" x14ac:dyDescent="0.3">
      <c r="B535" s="3">
        <f>$B$8</f>
        <v>0.1</v>
      </c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T535" s="3">
        <f t="shared" si="106"/>
        <v>0.2</v>
      </c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 spans="1:31" x14ac:dyDescent="0.3">
      <c r="B536" s="3">
        <f>$B$9</f>
        <v>0.1</v>
      </c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T536" s="3">
        <f t="shared" si="106"/>
        <v>0.2</v>
      </c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 spans="1:31" x14ac:dyDescent="0.3">
      <c r="B537" s="3">
        <f>$B$10</f>
        <v>0.1</v>
      </c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T537" s="3">
        <f t="shared" si="106"/>
        <v>0.2</v>
      </c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 spans="1:31" x14ac:dyDescent="0.3">
      <c r="B538" s="3">
        <f>$B$11</f>
        <v>0.1</v>
      </c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T538" s="3">
        <f t="shared" si="106"/>
        <v>0.2</v>
      </c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40" spans="1:31" x14ac:dyDescent="0.3">
      <c r="A540" s="4" t="s">
        <v>7</v>
      </c>
      <c r="B540" s="5">
        <f>E531 * (1 - E531) * (G531 * F540 + G533 * F541)</f>
        <v>-1.4165522377756904E-4</v>
      </c>
      <c r="C540" s="6"/>
      <c r="D540" s="6"/>
      <c r="E540" s="7"/>
      <c r="F540" s="5">
        <f>I531 * (1 - I531) * K531 *J540</f>
        <v>7.0365925829119092E-3</v>
      </c>
      <c r="G540" s="6"/>
      <c r="H540" s="6"/>
      <c r="I540" s="7"/>
      <c r="J540" s="5">
        <f>$P$18 - M531</f>
        <v>-8.6479037669910441E-2</v>
      </c>
      <c r="K540" s="6"/>
      <c r="L540" s="6"/>
      <c r="M540" s="7"/>
      <c r="S540" s="4" t="s">
        <v>7</v>
      </c>
      <c r="T540" s="5">
        <f>W531 * (1 - W531) * (Y531 * X540 + Y533 * X541)</f>
        <v>2.4072974851508128E-5</v>
      </c>
      <c r="U540" s="6"/>
      <c r="V540" s="6"/>
      <c r="W540" s="7"/>
      <c r="X540" s="5">
        <f>AA531 * (1 - AA531) * AC531 *AB540</f>
        <v>-1.3773833471209032E-3</v>
      </c>
      <c r="Y540" s="6"/>
      <c r="Z540" s="6"/>
      <c r="AA540" s="7"/>
      <c r="AB540" s="5">
        <f>$P$19 - AE531</f>
        <v>1.602172042540112E-2</v>
      </c>
      <c r="AC540" s="6"/>
      <c r="AD540" s="6"/>
      <c r="AE540" s="7"/>
    </row>
    <row r="541" spans="1:31" x14ac:dyDescent="0.3">
      <c r="B541" s="5">
        <f>E532 * (1 - E532) * (G532 * F540 + G534 * F541)</f>
        <v>-7.4661339201145683E-5</v>
      </c>
      <c r="C541" s="6"/>
      <c r="D541" s="6"/>
      <c r="E541" s="7"/>
      <c r="F541" s="5">
        <f>J532 * (1 - J532) * K532 * J540</f>
        <v>-4.3672080722106177E-3</v>
      </c>
      <c r="G541" s="6"/>
      <c r="H541" s="6"/>
      <c r="I541" s="7"/>
      <c r="T541" s="5">
        <f>W532 * (1 - W532) * (Y532 * X540 + Y534 * X541)</f>
        <v>9.766613418573382E-6</v>
      </c>
      <c r="U541" s="6"/>
      <c r="V541" s="6"/>
      <c r="W541" s="7"/>
      <c r="X541" s="5">
        <f>AB532 * (1 - AB532) * AC532 * AB540</f>
        <v>8.0782681671451317E-4</v>
      </c>
      <c r="Y541" s="6"/>
      <c r="Z541" s="6"/>
      <c r="AA541" s="7"/>
    </row>
    <row r="543" spans="1:31" x14ac:dyDescent="0.3">
      <c r="B543" s="8" t="s">
        <v>4</v>
      </c>
      <c r="C543" s="8"/>
      <c r="D543" s="8"/>
      <c r="E543" s="8"/>
      <c r="F543" s="8" t="s">
        <v>5</v>
      </c>
      <c r="G543" s="8"/>
      <c r="H543" s="8"/>
      <c r="I543" s="8"/>
      <c r="J543" s="8" t="s">
        <v>6</v>
      </c>
      <c r="K543" s="8"/>
      <c r="L543" s="8"/>
      <c r="M543" s="8"/>
      <c r="T543" s="9" t="s">
        <v>4</v>
      </c>
      <c r="U543" s="10"/>
      <c r="V543" s="10"/>
      <c r="W543" s="11"/>
      <c r="X543" s="9" t="s">
        <v>5</v>
      </c>
      <c r="Y543" s="10"/>
      <c r="Z543" s="10"/>
      <c r="AA543" s="11"/>
      <c r="AB543" s="9" t="s">
        <v>6</v>
      </c>
      <c r="AC543" s="10"/>
      <c r="AD543" s="10"/>
      <c r="AE543" s="11"/>
    </row>
    <row r="544" spans="1:31" x14ac:dyDescent="0.3"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T544" s="12"/>
      <c r="U544" s="13"/>
      <c r="V544" s="13"/>
      <c r="W544" s="14"/>
      <c r="X544" s="12"/>
      <c r="Y544" s="13"/>
      <c r="Z544" s="13"/>
      <c r="AA544" s="14"/>
      <c r="AB544" s="12"/>
      <c r="AC544" s="13"/>
      <c r="AD544" s="13"/>
      <c r="AE544" s="14"/>
    </row>
    <row r="545" spans="2:31" x14ac:dyDescent="0.3">
      <c r="B545" s="3" t="s">
        <v>0</v>
      </c>
      <c r="C545" s="3" t="s">
        <v>1</v>
      </c>
      <c r="D545" s="3" t="s">
        <v>2</v>
      </c>
      <c r="E545" s="3" t="s">
        <v>3</v>
      </c>
      <c r="F545" s="3" t="s">
        <v>0</v>
      </c>
      <c r="G545" s="3" t="s">
        <v>1</v>
      </c>
      <c r="H545" s="3" t="s">
        <v>2</v>
      </c>
      <c r="I545" s="3" t="s">
        <v>3</v>
      </c>
      <c r="J545" s="3" t="s">
        <v>0</v>
      </c>
      <c r="K545" s="3" t="s">
        <v>1</v>
      </c>
      <c r="L545" s="3" t="s">
        <v>2</v>
      </c>
      <c r="M545" s="3" t="s">
        <v>3</v>
      </c>
      <c r="T545" s="3">
        <f>$O$19</f>
        <v>0.2</v>
      </c>
      <c r="U545" s="3" t="s">
        <v>1</v>
      </c>
      <c r="V545" s="3" t="s">
        <v>2</v>
      </c>
      <c r="W545" s="3" t="s">
        <v>3</v>
      </c>
      <c r="X545" s="3" t="s">
        <v>0</v>
      </c>
      <c r="Y545" s="3" t="s">
        <v>1</v>
      </c>
      <c r="Z545" s="3" t="s">
        <v>2</v>
      </c>
      <c r="AA545" s="3" t="s">
        <v>3</v>
      </c>
      <c r="AB545" s="3" t="s">
        <v>0</v>
      </c>
      <c r="AC545" s="3" t="s">
        <v>1</v>
      </c>
      <c r="AD545" s="3" t="s">
        <v>2</v>
      </c>
      <c r="AE545" s="3" t="s">
        <v>3</v>
      </c>
    </row>
    <row r="546" spans="2:31" x14ac:dyDescent="0.3">
      <c r="B546" s="3">
        <f>$B$4</f>
        <v>0.1</v>
      </c>
      <c r="C546" s="3">
        <f>C531 + $O$7 * B531 * B540</f>
        <v>9.9935375334114493E-2</v>
      </c>
      <c r="D546" s="3">
        <f>B546*C546+B547*C547</f>
        <v>2.9987075066822896E-2</v>
      </c>
      <c r="E546" s="3">
        <f>1/(1+EXP(-D546))</f>
        <v>0.5074962070439315</v>
      </c>
      <c r="F546" s="3">
        <f>E546</f>
        <v>0.5074962070439315</v>
      </c>
      <c r="G546" s="3">
        <f>G531 + $O$7 * F531 * F540</f>
        <v>0.10308326960523607</v>
      </c>
      <c r="H546" s="3">
        <f>F546*G546+F547*G547</f>
        <v>0.15743739697157322</v>
      </c>
      <c r="I546" s="3">
        <f>1/(1+EXP(-H546))</f>
        <v>0.53927825176227129</v>
      </c>
      <c r="J546" s="3">
        <f>I546</f>
        <v>0.53927825176227129</v>
      </c>
      <c r="K546" s="3">
        <f>K531 + $P$18 * J531 * J540</f>
        <v>-0.3461332591156549</v>
      </c>
      <c r="L546" s="3">
        <f>J546*K546+J547*K547</f>
        <v>-6.4196959706239953E-2</v>
      </c>
      <c r="M546" s="3">
        <f>1/(1+EXP(-L546))</f>
        <v>0.48395626971314093</v>
      </c>
      <c r="T546" s="3">
        <f t="shared" ref="T546:T552" si="110">$O$19</f>
        <v>0.2</v>
      </c>
      <c r="U546" s="3">
        <f>U531 + $O$7 * T531 * T540</f>
        <v>9.9935856793611527E-2</v>
      </c>
      <c r="V546" s="3">
        <f>T546*U546+T547*U547</f>
        <v>5.9974342717444597E-2</v>
      </c>
      <c r="W546" s="3">
        <f>1/(1+EXP(-V546))</f>
        <v>0.51498909306573248</v>
      </c>
      <c r="X546" s="3">
        <f>W546</f>
        <v>0.51498909306573248</v>
      </c>
      <c r="Y546" s="3">
        <f>Y531 + $O$7 * X531 * X540</f>
        <v>0.10301233587178789</v>
      </c>
      <c r="Z546" s="3">
        <f>X546*Y546+X547*Y547</f>
        <v>0.16167789615646597</v>
      </c>
      <c r="AA546" s="3">
        <f>1/(1+EXP(-Z546))</f>
        <v>0.54033165736354827</v>
      </c>
      <c r="AB546" s="3">
        <f>AA546</f>
        <v>0.54033165736354827</v>
      </c>
      <c r="AC546" s="3">
        <f>AC531 +  $P$19 * AB531 * AB540</f>
        <v>-0.34180458665218644</v>
      </c>
      <c r="AD546" s="3">
        <f>AB546*AC546+AB547*AC547</f>
        <v>-6.1761135787068974E-2</v>
      </c>
      <c r="AE546" s="3">
        <f>1/(1+EXP(-AD546))</f>
        <v>0.48456462218217683</v>
      </c>
    </row>
    <row r="547" spans="2:31" x14ac:dyDescent="0.3">
      <c r="B547" s="3">
        <f>$B$5</f>
        <v>0.1</v>
      </c>
      <c r="C547" s="3">
        <f>C532 + $O$7 * B532 * B540</f>
        <v>0.19993537533411443</v>
      </c>
      <c r="D547" s="3">
        <f>B546*C548+B547*C549</f>
        <v>6.9984660243927521E-2</v>
      </c>
      <c r="E547" s="3">
        <f>1/(1+EXP(-D547))</f>
        <v>0.51748902742031033</v>
      </c>
      <c r="F547" s="3">
        <f>E547</f>
        <v>0.51748902742031033</v>
      </c>
      <c r="G547" s="3">
        <f>G532 + $O$7 * F532 * F540</f>
        <v>0.20314059442239502</v>
      </c>
      <c r="H547" s="3">
        <f>F546*G548+F547*G549</f>
        <v>0.35413409534032569</v>
      </c>
      <c r="I547" s="3">
        <f>1/(1+EXP(-H547))</f>
        <v>0.5876197259866841</v>
      </c>
      <c r="J547" s="3">
        <f>I547</f>
        <v>0.5876197259866841</v>
      </c>
      <c r="K547" s="3">
        <f>K532 + $P$18 * J532 * J541</f>
        <v>0.20840889733712384</v>
      </c>
      <c r="L547" s="3"/>
      <c r="M547" s="3"/>
      <c r="T547" s="3">
        <f t="shared" si="110"/>
        <v>0.2</v>
      </c>
      <c r="U547" s="3">
        <f>U532 + $O$7 * T532 * T540</f>
        <v>0.19993585679361145</v>
      </c>
      <c r="V547" s="3">
        <f>T546*U548+T547*U549</f>
        <v>0.13996939862076241</v>
      </c>
      <c r="W547" s="3">
        <f>1/(1+EXP(-V547))</f>
        <v>0.53493533216983735</v>
      </c>
      <c r="X547" s="3">
        <f>W547</f>
        <v>0.53493533216983735</v>
      </c>
      <c r="Y547" s="3">
        <f>Y532 + $O$7 * X532 * X540</f>
        <v>0.20306691332324062</v>
      </c>
      <c r="Z547" s="3">
        <f>X546*Y548+X547*Y549</f>
        <v>0.36328016655123474</v>
      </c>
      <c r="AA547" s="3">
        <f>1/(1+EXP(-Z547))</f>
        <v>0.5898342373277965</v>
      </c>
      <c r="AB547" s="3">
        <f>AA547</f>
        <v>0.5898342373277965</v>
      </c>
      <c r="AC547" s="3">
        <f>AC532 +  $P$19 * AB532 * AB541</f>
        <v>0.20840889733712384</v>
      </c>
      <c r="AD547" s="3"/>
      <c r="AE547" s="3"/>
    </row>
    <row r="548" spans="2:31" x14ac:dyDescent="0.3">
      <c r="B548" s="3">
        <f>$B$6</f>
        <v>0.1</v>
      </c>
      <c r="C548" s="3">
        <f>C533 + $O$7 * B531 * B541</f>
        <v>0.29992330121963762</v>
      </c>
      <c r="D548" s="3"/>
      <c r="E548" s="3"/>
      <c r="F548" s="3"/>
      <c r="G548" s="3">
        <f>G533 + $O$7 * F531 * F541</f>
        <v>0.29506781330337523</v>
      </c>
      <c r="H548" s="3"/>
      <c r="I548" s="3"/>
      <c r="J548" s="3"/>
      <c r="K548" s="3"/>
      <c r="L548" s="3"/>
      <c r="M548" s="3"/>
      <c r="T548" s="3">
        <f t="shared" si="110"/>
        <v>0.2</v>
      </c>
      <c r="U548" s="3">
        <f>U533 + $O$7 * T531 * T541</f>
        <v>0.29992349655190598</v>
      </c>
      <c r="V548" s="3"/>
      <c r="W548" s="3"/>
      <c r="X548" s="3"/>
      <c r="Y548" s="3">
        <f>Y533 + $O$7 * X531 * X541</f>
        <v>0.29510941549945874</v>
      </c>
      <c r="Z548" s="3"/>
      <c r="AA548" s="3"/>
      <c r="AB548" s="3"/>
      <c r="AC548" s="3"/>
      <c r="AD548" s="3"/>
      <c r="AE548" s="3"/>
    </row>
    <row r="549" spans="2:31" x14ac:dyDescent="0.3">
      <c r="B549" s="3">
        <f>$B$7</f>
        <v>0.1</v>
      </c>
      <c r="C549" s="3">
        <f>C534 + $O$7 * B532* B541</f>
        <v>0.39992330121963765</v>
      </c>
      <c r="D549" s="3"/>
      <c r="E549" s="3"/>
      <c r="F549" s="3"/>
      <c r="G549" s="3">
        <f>G534 + $O$7 * F532* F541</f>
        <v>0.39496160969246874</v>
      </c>
      <c r="H549" s="3"/>
      <c r="I549" s="3"/>
      <c r="J549" s="3"/>
      <c r="K549" s="3"/>
      <c r="L549" s="3"/>
      <c r="M549" s="3"/>
      <c r="T549" s="3">
        <f t="shared" si="110"/>
        <v>0.2</v>
      </c>
      <c r="U549" s="3">
        <f>U534 + $O$7 * T532* T541</f>
        <v>0.39992349655190601</v>
      </c>
      <c r="V549" s="3"/>
      <c r="W549" s="3"/>
      <c r="X549" s="3"/>
      <c r="Y549" s="3">
        <f>Y534 + $O$7 * X532* X541</f>
        <v>0.395004823201552</v>
      </c>
      <c r="Z549" s="3"/>
      <c r="AA549" s="3"/>
      <c r="AB549" s="3"/>
      <c r="AC549" s="3"/>
      <c r="AD549" s="3"/>
      <c r="AE549" s="3"/>
    </row>
    <row r="550" spans="2:31" x14ac:dyDescent="0.3">
      <c r="B550" s="3">
        <f>$B$8</f>
        <v>0.1</v>
      </c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T550" s="3">
        <f t="shared" si="110"/>
        <v>0.2</v>
      </c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 spans="2:31" x14ac:dyDescent="0.3">
      <c r="B551" s="3">
        <f>$B$9</f>
        <v>0.1</v>
      </c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T551" s="3">
        <f t="shared" si="110"/>
        <v>0.2</v>
      </c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 spans="2:31" x14ac:dyDescent="0.3">
      <c r="B552" s="3">
        <f>$B$10</f>
        <v>0.1</v>
      </c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T552" s="3">
        <f t="shared" si="110"/>
        <v>0.2</v>
      </c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 spans="2:31" x14ac:dyDescent="0.3">
      <c r="B553" s="3">
        <f>$B$11</f>
        <v>0.1</v>
      </c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T553" s="3">
        <f>$B$11</f>
        <v>0.1</v>
      </c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9" spans="2:31" x14ac:dyDescent="0.3">
      <c r="B559" s="8" t="s">
        <v>4</v>
      </c>
      <c r="C559" s="8"/>
      <c r="D559" s="8"/>
      <c r="E559" s="8"/>
      <c r="F559" s="8" t="s">
        <v>5</v>
      </c>
      <c r="G559" s="8"/>
      <c r="H559" s="8"/>
      <c r="I559" s="8"/>
      <c r="J559" s="8" t="s">
        <v>6</v>
      </c>
      <c r="K559" s="8"/>
      <c r="L559" s="8"/>
      <c r="M559" s="8"/>
      <c r="T559" s="9" t="s">
        <v>4</v>
      </c>
      <c r="U559" s="10"/>
      <c r="V559" s="10"/>
      <c r="W559" s="11"/>
      <c r="X559" s="9" t="s">
        <v>5</v>
      </c>
      <c r="Y559" s="10"/>
      <c r="Z559" s="10"/>
      <c r="AA559" s="11"/>
      <c r="AB559" s="9" t="s">
        <v>6</v>
      </c>
      <c r="AC559" s="10"/>
      <c r="AD559" s="10"/>
      <c r="AE559" s="11"/>
    </row>
    <row r="560" spans="2:31" x14ac:dyDescent="0.3"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T560" s="12"/>
      <c r="U560" s="13"/>
      <c r="V560" s="13"/>
      <c r="W560" s="14"/>
      <c r="X560" s="12"/>
      <c r="Y560" s="13"/>
      <c r="Z560" s="13"/>
      <c r="AA560" s="14"/>
      <c r="AB560" s="12"/>
      <c r="AC560" s="13"/>
      <c r="AD560" s="13"/>
      <c r="AE560" s="14"/>
    </row>
    <row r="561" spans="1:31" x14ac:dyDescent="0.3">
      <c r="B561" s="3" t="s">
        <v>0</v>
      </c>
      <c r="C561" s="3" t="s">
        <v>1</v>
      </c>
      <c r="D561" s="3" t="s">
        <v>2</v>
      </c>
      <c r="E561" s="3" t="s">
        <v>3</v>
      </c>
      <c r="F561" s="3" t="s">
        <v>0</v>
      </c>
      <c r="G561" s="3" t="s">
        <v>1</v>
      </c>
      <c r="H561" s="3" t="s">
        <v>2</v>
      </c>
      <c r="I561" s="3" t="s">
        <v>3</v>
      </c>
      <c r="J561" s="3" t="s">
        <v>0</v>
      </c>
      <c r="K561" s="3" t="s">
        <v>1</v>
      </c>
      <c r="L561" s="3" t="s">
        <v>2</v>
      </c>
      <c r="M561" s="3" t="s">
        <v>3</v>
      </c>
      <c r="T561" s="3" t="s">
        <v>0</v>
      </c>
      <c r="U561" s="3" t="s">
        <v>1</v>
      </c>
      <c r="V561" s="3" t="s">
        <v>2</v>
      </c>
      <c r="W561" s="3" t="s">
        <v>3</v>
      </c>
      <c r="X561" s="3" t="s">
        <v>0</v>
      </c>
      <c r="Y561" s="3" t="s">
        <v>1</v>
      </c>
      <c r="Z561" s="3" t="s">
        <v>2</v>
      </c>
      <c r="AA561" s="3" t="s">
        <v>3</v>
      </c>
      <c r="AB561" s="3" t="s">
        <v>0</v>
      </c>
      <c r="AC561" s="3" t="s">
        <v>1</v>
      </c>
      <c r="AD561" s="3" t="s">
        <v>2</v>
      </c>
      <c r="AE561" s="3" t="s">
        <v>3</v>
      </c>
    </row>
    <row r="562" spans="1:31" x14ac:dyDescent="0.3">
      <c r="B562" s="3">
        <f>$B$4</f>
        <v>0.1</v>
      </c>
      <c r="C562" s="3">
        <f>U546</f>
        <v>9.9935856793611527E-2</v>
      </c>
      <c r="D562" s="3">
        <f>B562*C562+B563*C563</f>
        <v>2.9987171358722298E-2</v>
      </c>
      <c r="E562" s="3">
        <f>1/(1+EXP(-D562))</f>
        <v>0.50749623111149533</v>
      </c>
      <c r="F562" s="3">
        <f>E562</f>
        <v>0.50749623111149533</v>
      </c>
      <c r="G562" s="3">
        <f>Y546</f>
        <v>0.10301233587178789</v>
      </c>
      <c r="H562" s="3">
        <f>F562*G562+F563*G563</f>
        <v>0.15736327367066166</v>
      </c>
      <c r="I562" s="3">
        <f>1/(1+EXP(-H562))</f>
        <v>0.5392598352394582</v>
      </c>
      <c r="J562" s="3">
        <f>I562</f>
        <v>0.5392598352394582</v>
      </c>
      <c r="K562" s="3">
        <f>AC546</f>
        <v>-0.34180458665218644</v>
      </c>
      <c r="L562" s="3">
        <f>J562*K562+J563*K563</f>
        <v>-6.1854109782695149E-2</v>
      </c>
      <c r="M562" s="3">
        <f>1/(1+EXP(-L562))</f>
        <v>0.48454140086774872</v>
      </c>
      <c r="T562" s="3">
        <f>$O$19</f>
        <v>0.2</v>
      </c>
      <c r="U562" s="3">
        <f>C577</f>
        <v>9.9934556138315603E-2</v>
      </c>
      <c r="V562" s="3">
        <f>T562*U562+T563*U563</f>
        <v>5.9973822455326231E-2</v>
      </c>
      <c r="W562" s="3">
        <f>1/(1+EXP(-V562))</f>
        <v>0.51498896311709075</v>
      </c>
      <c r="X562" s="3">
        <f>W562</f>
        <v>0.51498896311709075</v>
      </c>
      <c r="Y562" s="3">
        <f>G577</f>
        <v>0.1033766988937577</v>
      </c>
      <c r="Z562" s="3">
        <f>X562*Y562+X563*Y563</f>
        <v>0.16206426267687429</v>
      </c>
      <c r="AA562" s="3">
        <f>1/(1+EXP(-Z562))</f>
        <v>0.54042761901686942</v>
      </c>
      <c r="AB562" s="3">
        <f>AA562</f>
        <v>0.54042761901686942</v>
      </c>
      <c r="AC562" s="3">
        <f>K577</f>
        <v>-0.3600404994133285</v>
      </c>
      <c r="AD562" s="3">
        <f>AB562*AC562+AB563*AC563</f>
        <v>-7.166071546508862E-2</v>
      </c>
      <c r="AE562" s="3">
        <f>1/(1+EXP(-AD562))</f>
        <v>0.48209248378779129</v>
      </c>
    </row>
    <row r="563" spans="1:31" x14ac:dyDescent="0.3">
      <c r="B563" s="3">
        <f>$B$5</f>
        <v>0.1</v>
      </c>
      <c r="C563" s="3">
        <f>U547</f>
        <v>0.19993585679361145</v>
      </c>
      <c r="D563" s="3">
        <f>B562*C564+B563*C565</f>
        <v>6.9984699310381204E-2</v>
      </c>
      <c r="E563" s="3">
        <f>1/(1+EXP(-D563))</f>
        <v>0.51748903717497463</v>
      </c>
      <c r="F563" s="3">
        <f>E563</f>
        <v>0.51748903717497463</v>
      </c>
      <c r="G563" s="3">
        <f t="shared" ref="G563:G565" si="111">Y547</f>
        <v>0.20306691332324062</v>
      </c>
      <c r="H563" s="3">
        <f>F562*G564+F563*G565</f>
        <v>0.35417758176953384</v>
      </c>
      <c r="I563" s="3">
        <f>1/(1+EXP(-H563))</f>
        <v>0.5876302636991062</v>
      </c>
      <c r="J563" s="3">
        <f>I563</f>
        <v>0.5876302636991062</v>
      </c>
      <c r="K563" s="3">
        <f>AC547</f>
        <v>0.20840889733712384</v>
      </c>
      <c r="L563" s="3"/>
      <c r="M563" s="3"/>
      <c r="T563" s="3">
        <f t="shared" ref="T563:T569" si="112">$O$19</f>
        <v>0.2</v>
      </c>
      <c r="U563" s="3">
        <f t="shared" ref="U563:U565" si="113">C578</f>
        <v>0.19993455613831554</v>
      </c>
      <c r="V563" s="3">
        <f>T562*U564+T563*U565</f>
        <v>0.13996917037207635</v>
      </c>
      <c r="W563" s="3">
        <f>1/(1+EXP(-V563))</f>
        <v>0.53493527538623775</v>
      </c>
      <c r="X563" s="3">
        <f>W563</f>
        <v>0.53493527538623775</v>
      </c>
      <c r="Y563" s="3">
        <f t="shared" ref="Y563:Y565" si="114">G578</f>
        <v>0.20343845080049114</v>
      </c>
      <c r="Z563" s="3">
        <f>X562*Y564+X563*Y565</f>
        <v>0.36305033083573868</v>
      </c>
      <c r="AA563" s="3">
        <f>1/(1+EXP(-Z563))</f>
        <v>0.58977863206901693</v>
      </c>
      <c r="AB563" s="3">
        <f>AA563</f>
        <v>0.58977863206901693</v>
      </c>
      <c r="AC563" s="3">
        <f>K578</f>
        <v>0.20840889733712384</v>
      </c>
      <c r="AD563" s="3"/>
      <c r="AE563" s="3"/>
    </row>
    <row r="564" spans="1:31" x14ac:dyDescent="0.3">
      <c r="B564" s="3">
        <f>$B$6</f>
        <v>0.1</v>
      </c>
      <c r="C564" s="3">
        <f t="shared" ref="C564:C565" si="115">U548</f>
        <v>0.29992349655190598</v>
      </c>
      <c r="D564" s="3"/>
      <c r="E564" s="3"/>
      <c r="F564" s="3"/>
      <c r="G564" s="3">
        <f t="shared" si="111"/>
        <v>0.29510941549945874</v>
      </c>
      <c r="H564" s="3"/>
      <c r="I564" s="3"/>
      <c r="J564" s="3"/>
      <c r="K564" s="3"/>
      <c r="L564" s="3"/>
      <c r="M564" s="3"/>
      <c r="T564" s="3">
        <f t="shared" si="112"/>
        <v>0.2</v>
      </c>
      <c r="U564" s="3">
        <f t="shared" si="113"/>
        <v>0.29992292593019088</v>
      </c>
      <c r="V564" s="3"/>
      <c r="W564" s="3"/>
      <c r="X564" s="3"/>
      <c r="Y564" s="3">
        <f t="shared" si="114"/>
        <v>0.29489274017454414</v>
      </c>
      <c r="Z564" s="3"/>
      <c r="AA564" s="3"/>
      <c r="AB564" s="3"/>
      <c r="AC564" s="3"/>
      <c r="AD564" s="3"/>
      <c r="AE564" s="3"/>
    </row>
    <row r="565" spans="1:31" x14ac:dyDescent="0.3">
      <c r="B565" s="3">
        <f>$B$7</f>
        <v>0.1</v>
      </c>
      <c r="C565" s="3">
        <f t="shared" si="115"/>
        <v>0.39992349655190601</v>
      </c>
      <c r="D565" s="3"/>
      <c r="E565" s="3"/>
      <c r="F565" s="3"/>
      <c r="G565" s="3">
        <f t="shared" si="111"/>
        <v>0.395004823201552</v>
      </c>
      <c r="H565" s="3"/>
      <c r="I565" s="3"/>
      <c r="J565" s="3"/>
      <c r="K565" s="3"/>
      <c r="L565" s="3"/>
      <c r="M565" s="3"/>
      <c r="T565" s="3">
        <f t="shared" si="112"/>
        <v>0.2</v>
      </c>
      <c r="U565" s="3">
        <f t="shared" si="113"/>
        <v>0.39992292593019091</v>
      </c>
      <c r="V565" s="3"/>
      <c r="W565" s="3"/>
      <c r="X565" s="3"/>
      <c r="Y565" s="3">
        <f t="shared" si="114"/>
        <v>0.39478388145184867</v>
      </c>
      <c r="Z565" s="3"/>
      <c r="AA565" s="3"/>
      <c r="AB565" s="3"/>
      <c r="AC565" s="3"/>
      <c r="AD565" s="3"/>
      <c r="AE565" s="3"/>
    </row>
    <row r="566" spans="1:31" x14ac:dyDescent="0.3">
      <c r="B566" s="3">
        <f>$B$8</f>
        <v>0.1</v>
      </c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T566" s="3">
        <f t="shared" si="112"/>
        <v>0.2</v>
      </c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 spans="1:31" x14ac:dyDescent="0.3">
      <c r="B567" s="3">
        <f>$B$9</f>
        <v>0.1</v>
      </c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T567" s="3">
        <f t="shared" si="112"/>
        <v>0.2</v>
      </c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 spans="1:31" x14ac:dyDescent="0.3">
      <c r="B568" s="3">
        <f>$B$10</f>
        <v>0.1</v>
      </c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T568" s="3">
        <f t="shared" si="112"/>
        <v>0.2</v>
      </c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 spans="1:31" x14ac:dyDescent="0.3">
      <c r="B569" s="3">
        <f>$B$11</f>
        <v>0.1</v>
      </c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T569" s="3">
        <f t="shared" si="112"/>
        <v>0.2</v>
      </c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1" spans="1:31" x14ac:dyDescent="0.3">
      <c r="A571" s="4" t="s">
        <v>7</v>
      </c>
      <c r="B571" s="5">
        <f>E562 * (1 - E562) * (G562 * F571 + G564 * F572)</f>
        <v>-1.3006552959202562E-4</v>
      </c>
      <c r="C571" s="6"/>
      <c r="D571" s="6"/>
      <c r="E571" s="7"/>
      <c r="F571" s="5">
        <f>I562 * (1 - I562) * K562 *J571</f>
        <v>7.1796202539631841E-3</v>
      </c>
      <c r="G571" s="6"/>
      <c r="H571" s="6"/>
      <c r="I571" s="7"/>
      <c r="J571" s="5">
        <f>$P$18 - M562</f>
        <v>-8.4541400867748695E-2</v>
      </c>
      <c r="K571" s="6"/>
      <c r="L571" s="6"/>
      <c r="M571" s="7"/>
      <c r="S571" s="4" t="s">
        <v>7</v>
      </c>
      <c r="T571" s="5">
        <f>W562 * (1 - W562) * (Y562 * X571 + Y564 * X572)</f>
        <v>2.5160188452689776E-5</v>
      </c>
      <c r="U571" s="6"/>
      <c r="V571" s="6"/>
      <c r="W571" s="7"/>
      <c r="X571" s="5">
        <f>AA562 * (1 - AA562) * AC562 *AB571</f>
        <v>-1.6013201378498058E-3</v>
      </c>
      <c r="Y571" s="6"/>
      <c r="Z571" s="6"/>
      <c r="AA571" s="7"/>
      <c r="AB571" s="5">
        <f>$P$19 - AE562</f>
        <v>1.7907516212208707E-2</v>
      </c>
      <c r="AC571" s="6"/>
      <c r="AD571" s="6"/>
      <c r="AE571" s="7"/>
    </row>
    <row r="572" spans="1:31" x14ac:dyDescent="0.3">
      <c r="B572" s="5">
        <f>E563 * (1 - E563) * (G563 * F571 + G565 * F572)</f>
        <v>-5.706217150875274E-5</v>
      </c>
      <c r="C572" s="6"/>
      <c r="D572" s="6"/>
      <c r="E572" s="7"/>
      <c r="F572" s="5">
        <f>J563 * (1 - J563) * K563 * J571</f>
        <v>-4.2694962372436928E-3</v>
      </c>
      <c r="G572" s="6"/>
      <c r="H572" s="6"/>
      <c r="I572" s="7"/>
      <c r="T572" s="5">
        <f>W563 * (1 - W563) * (Y563 * X571 + Y565 * X572)</f>
        <v>7.636559552295726E-6</v>
      </c>
      <c r="U572" s="6"/>
      <c r="V572" s="6"/>
      <c r="W572" s="7"/>
      <c r="X572" s="5">
        <f>AB563 * (1 - AB563) * AC563 * AB571</f>
        <v>9.0294005937503871E-4</v>
      </c>
      <c r="Y572" s="6"/>
      <c r="Z572" s="6"/>
      <c r="AA572" s="7"/>
    </row>
    <row r="574" spans="1:31" x14ac:dyDescent="0.3">
      <c r="B574" s="8" t="s">
        <v>4</v>
      </c>
      <c r="C574" s="8"/>
      <c r="D574" s="8"/>
      <c r="E574" s="8"/>
      <c r="F574" s="8" t="s">
        <v>5</v>
      </c>
      <c r="G574" s="8"/>
      <c r="H574" s="8"/>
      <c r="I574" s="8"/>
      <c r="J574" s="8" t="s">
        <v>6</v>
      </c>
      <c r="K574" s="8"/>
      <c r="L574" s="8"/>
      <c r="M574" s="8"/>
      <c r="T574" s="9" t="s">
        <v>4</v>
      </c>
      <c r="U574" s="10"/>
      <c r="V574" s="10"/>
      <c r="W574" s="11"/>
      <c r="X574" s="9" t="s">
        <v>5</v>
      </c>
      <c r="Y574" s="10"/>
      <c r="Z574" s="10"/>
      <c r="AA574" s="11"/>
      <c r="AB574" s="9" t="s">
        <v>6</v>
      </c>
      <c r="AC574" s="10"/>
      <c r="AD574" s="10"/>
      <c r="AE574" s="11"/>
    </row>
    <row r="575" spans="1:31" x14ac:dyDescent="0.3"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T575" s="12"/>
      <c r="U575" s="13"/>
      <c r="V575" s="13"/>
      <c r="W575" s="14"/>
      <c r="X575" s="12"/>
      <c r="Y575" s="13"/>
      <c r="Z575" s="13"/>
      <c r="AA575" s="14"/>
      <c r="AB575" s="12"/>
      <c r="AC575" s="13"/>
      <c r="AD575" s="13"/>
      <c r="AE575" s="14"/>
    </row>
    <row r="576" spans="1:31" x14ac:dyDescent="0.3">
      <c r="B576" s="3" t="s">
        <v>0</v>
      </c>
      <c r="C576" s="3" t="s">
        <v>1</v>
      </c>
      <c r="D576" s="3" t="s">
        <v>2</v>
      </c>
      <c r="E576" s="3" t="s">
        <v>3</v>
      </c>
      <c r="F576" s="3" t="s">
        <v>0</v>
      </c>
      <c r="G576" s="3" t="s">
        <v>1</v>
      </c>
      <c r="H576" s="3" t="s">
        <v>2</v>
      </c>
      <c r="I576" s="3" t="s">
        <v>3</v>
      </c>
      <c r="J576" s="3" t="s">
        <v>0</v>
      </c>
      <c r="K576" s="3" t="s">
        <v>1</v>
      </c>
      <c r="L576" s="3" t="s">
        <v>2</v>
      </c>
      <c r="M576" s="3" t="s">
        <v>3</v>
      </c>
      <c r="T576" s="3">
        <f>$O$19</f>
        <v>0.2</v>
      </c>
      <c r="U576" s="3" t="s">
        <v>1</v>
      </c>
      <c r="V576" s="3" t="s">
        <v>2</v>
      </c>
      <c r="W576" s="3" t="s">
        <v>3</v>
      </c>
      <c r="X576" s="3" t="s">
        <v>0</v>
      </c>
      <c r="Y576" s="3" t="s">
        <v>1</v>
      </c>
      <c r="Z576" s="3" t="s">
        <v>2</v>
      </c>
      <c r="AA576" s="3" t="s">
        <v>3</v>
      </c>
      <c r="AB576" s="3" t="s">
        <v>0</v>
      </c>
      <c r="AC576" s="3" t="s">
        <v>1</v>
      </c>
      <c r="AD576" s="3" t="s">
        <v>2</v>
      </c>
      <c r="AE576" s="3" t="s">
        <v>3</v>
      </c>
    </row>
    <row r="577" spans="2:31" x14ac:dyDescent="0.3">
      <c r="B577" s="3">
        <f>$B$4</f>
        <v>0.1</v>
      </c>
      <c r="C577" s="3">
        <f>C562 + $O$7 * B562 * B571</f>
        <v>9.9934556138315603E-2</v>
      </c>
      <c r="D577" s="3">
        <f>B577*C577+B578*C578</f>
        <v>2.9986911227663116E-2</v>
      </c>
      <c r="E577" s="3">
        <f>1/(1+EXP(-D577))</f>
        <v>0.50749616609334813</v>
      </c>
      <c r="F577" s="3">
        <f>E577</f>
        <v>0.50749616609334813</v>
      </c>
      <c r="G577" s="3">
        <f>G562 + $O$7 * F562 * F571</f>
        <v>0.1033766988937577</v>
      </c>
      <c r="H577" s="3">
        <f>F577*G577+F578*G578</f>
        <v>0.15774044058386461</v>
      </c>
      <c r="I577" s="3">
        <f>1/(1+EXP(-H577))</f>
        <v>0.53935354423861392</v>
      </c>
      <c r="J577" s="3">
        <f>I577</f>
        <v>0.53935354423861392</v>
      </c>
      <c r="K577" s="3">
        <f>K562 + $P$18 * J562 * J571</f>
        <v>-0.3600404994133285</v>
      </c>
      <c r="L577" s="3">
        <f>J577*K577+J578*K578</f>
        <v>-7.1733073290819488E-2</v>
      </c>
      <c r="M577" s="3">
        <f>1/(1+EXP(-L577))</f>
        <v>0.48207441755842084</v>
      </c>
      <c r="T577" s="3">
        <f t="shared" ref="T577:T583" si="116">$O$19</f>
        <v>0.2</v>
      </c>
      <c r="U577" s="3">
        <f>U562 + $O$7 * T562 * T571</f>
        <v>9.9935059342084659E-2</v>
      </c>
      <c r="V577" s="3">
        <f>T577*U577+T578*U578</f>
        <v>5.9974023736833852E-2</v>
      </c>
      <c r="W577" s="3">
        <f>1/(1+EXP(-V577))</f>
        <v>0.51498901339224579</v>
      </c>
      <c r="X577" s="3">
        <f>W577</f>
        <v>0.51498901339224579</v>
      </c>
      <c r="Y577" s="3">
        <f>Y562 + $O$7 * X562 * X571</f>
        <v>0.10329423267401672</v>
      </c>
      <c r="Z577" s="3">
        <f>X577*Y577+X578*Y578</f>
        <v>0.16197597907136038</v>
      </c>
      <c r="AA577" s="3">
        <f>1/(1+EXP(-Z577))</f>
        <v>0.54040569232729874</v>
      </c>
      <c r="AB577" s="3">
        <f>AA577</f>
        <v>0.54040569232729874</v>
      </c>
      <c r="AC577" s="3">
        <f>AC562 +  $P$19 * AB562 * AB571</f>
        <v>-0.35520164123879355</v>
      </c>
      <c r="AD577" s="3">
        <f>AB577*AC577+AB578*AC578</f>
        <v>-6.9035363130767247E-2</v>
      </c>
      <c r="AE577" s="3">
        <f>1/(1+EXP(-AD577))</f>
        <v>0.48274801041776144</v>
      </c>
    </row>
    <row r="578" spans="2:31" x14ac:dyDescent="0.3">
      <c r="B578" s="3">
        <f>$B$5</f>
        <v>0.1</v>
      </c>
      <c r="C578" s="3">
        <f>C563 + $O$7 * B563 * B571</f>
        <v>0.19993455613831554</v>
      </c>
      <c r="D578" s="3">
        <f>B577*C579+B578*C580</f>
        <v>6.9984585186038173E-2</v>
      </c>
      <c r="E578" s="3">
        <f>1/(1+EXP(-D578))</f>
        <v>0.51748900867879566</v>
      </c>
      <c r="F578" s="3">
        <f>E578</f>
        <v>0.51748900867879566</v>
      </c>
      <c r="G578" s="3">
        <f>G563 + $O$7 * F563 * F571</f>
        <v>0.20343845080049114</v>
      </c>
      <c r="H578" s="3">
        <f>F577*G579+F578*G580</f>
        <v>0.35395325450222737</v>
      </c>
      <c r="I578" s="3">
        <f>1/(1+EXP(-H578))</f>
        <v>0.5875759034371455</v>
      </c>
      <c r="J578" s="3">
        <f>I578</f>
        <v>0.5875759034371455</v>
      </c>
      <c r="K578" s="3">
        <f>K563 + $P$18 * J563 * J572</f>
        <v>0.20840889733712384</v>
      </c>
      <c r="L578" s="3"/>
      <c r="M578" s="3"/>
      <c r="T578" s="3">
        <f t="shared" si="116"/>
        <v>0.2</v>
      </c>
      <c r="U578" s="3">
        <f>U563 + $O$7 * T563 * T571</f>
        <v>0.19993505934208458</v>
      </c>
      <c r="V578" s="3">
        <f>T577*U579+T578*U580</f>
        <v>0.13996923146455276</v>
      </c>
      <c r="W578" s="3">
        <f>1/(1+EXP(-V578))</f>
        <v>0.53493529058479505</v>
      </c>
      <c r="X578" s="3">
        <f>W578</f>
        <v>0.53493529058479505</v>
      </c>
      <c r="Y578" s="3">
        <f>Y563 + $O$7 * X563 * X571</f>
        <v>0.20335279053759892</v>
      </c>
      <c r="Z578" s="3">
        <f>X577*Y579+X578*Y580</f>
        <v>0.36310013701489463</v>
      </c>
      <c r="AA578" s="3">
        <f>1/(1+EXP(-Z578))</f>
        <v>0.58979068211201779</v>
      </c>
      <c r="AB578" s="3">
        <f>AA578</f>
        <v>0.58979068211201779</v>
      </c>
      <c r="AC578" s="3">
        <f>AC563 +  $P$19 * AB563 * AB572</f>
        <v>0.20840889733712384</v>
      </c>
      <c r="AD578" s="3"/>
      <c r="AE578" s="3"/>
    </row>
    <row r="579" spans="2:31" x14ac:dyDescent="0.3">
      <c r="B579" s="3">
        <f>$B$6</f>
        <v>0.1</v>
      </c>
      <c r="C579" s="3">
        <f>C564 + $O$7 * B562 * B572</f>
        <v>0.29992292593019088</v>
      </c>
      <c r="D579" s="3"/>
      <c r="E579" s="3"/>
      <c r="F579" s="3"/>
      <c r="G579" s="3">
        <f>G564 + $O$7 * F562 * F572</f>
        <v>0.29489274017454414</v>
      </c>
      <c r="H579" s="3"/>
      <c r="I579" s="3"/>
      <c r="J579" s="3"/>
      <c r="K579" s="3"/>
      <c r="L579" s="3"/>
      <c r="M579" s="3"/>
      <c r="T579" s="3">
        <f t="shared" si="116"/>
        <v>0.2</v>
      </c>
      <c r="U579" s="3">
        <f>U564 + $O$7 * T562 * T572</f>
        <v>0.2999230786613819</v>
      </c>
      <c r="V579" s="3"/>
      <c r="W579" s="3"/>
      <c r="X579" s="3"/>
      <c r="Y579" s="3">
        <f>Y564 + $O$7 * X562 * X572</f>
        <v>0.2949392405910376</v>
      </c>
      <c r="Z579" s="3"/>
      <c r="AA579" s="3"/>
      <c r="AB579" s="3"/>
      <c r="AC579" s="3"/>
      <c r="AD579" s="3"/>
      <c r="AE579" s="3"/>
    </row>
    <row r="580" spans="2:31" x14ac:dyDescent="0.3">
      <c r="B580" s="3">
        <f>$B$7</f>
        <v>0.1</v>
      </c>
      <c r="C580" s="3">
        <f>C565 + $O$7 * B563* B572</f>
        <v>0.39992292593019091</v>
      </c>
      <c r="D580" s="3"/>
      <c r="E580" s="3"/>
      <c r="F580" s="3"/>
      <c r="G580" s="3">
        <f>G565 + $O$7 * F563* F572</f>
        <v>0.39478388145184867</v>
      </c>
      <c r="H580" s="3"/>
      <c r="I580" s="3"/>
      <c r="J580" s="3"/>
      <c r="K580" s="3"/>
      <c r="L580" s="3"/>
      <c r="M580" s="3"/>
      <c r="T580" s="3">
        <f t="shared" si="116"/>
        <v>0.2</v>
      </c>
      <c r="U580" s="3">
        <f>U565 + $O$7 * T563* T572</f>
        <v>0.39992307866138194</v>
      </c>
      <c r="V580" s="3"/>
      <c r="W580" s="3"/>
      <c r="X580" s="3"/>
      <c r="Y580" s="3">
        <f>Y565 + $O$7 * X563* X572</f>
        <v>0.39483218290078059</v>
      </c>
      <c r="Z580" s="3"/>
      <c r="AA580" s="3"/>
      <c r="AB580" s="3"/>
      <c r="AC580" s="3"/>
      <c r="AD580" s="3"/>
      <c r="AE580" s="3"/>
    </row>
    <row r="581" spans="2:31" x14ac:dyDescent="0.3">
      <c r="B581" s="3">
        <f>$B$8</f>
        <v>0.1</v>
      </c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T581" s="3">
        <f t="shared" si="116"/>
        <v>0.2</v>
      </c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 spans="2:31" x14ac:dyDescent="0.3">
      <c r="B582" s="3">
        <f>$B$9</f>
        <v>0.1</v>
      </c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T582" s="3">
        <f t="shared" si="116"/>
        <v>0.2</v>
      </c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 spans="2:31" x14ac:dyDescent="0.3">
      <c r="B583" s="3">
        <f>$B$10</f>
        <v>0.1</v>
      </c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T583" s="3">
        <f t="shared" si="116"/>
        <v>0.2</v>
      </c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 spans="2:31" x14ac:dyDescent="0.3">
      <c r="B584" s="3">
        <f>$B$11</f>
        <v>0.1</v>
      </c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T584" s="3">
        <f>$B$11</f>
        <v>0.1</v>
      </c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90" spans="2:31" x14ac:dyDescent="0.3">
      <c r="B590" s="8" t="s">
        <v>4</v>
      </c>
      <c r="C590" s="8"/>
      <c r="D590" s="8"/>
      <c r="E590" s="8"/>
      <c r="F590" s="8" t="s">
        <v>5</v>
      </c>
      <c r="G590" s="8"/>
      <c r="H590" s="8"/>
      <c r="I590" s="8"/>
      <c r="J590" s="8" t="s">
        <v>6</v>
      </c>
      <c r="K590" s="8"/>
      <c r="L590" s="8"/>
      <c r="M590" s="8"/>
      <c r="T590" s="9" t="s">
        <v>4</v>
      </c>
      <c r="U590" s="10"/>
      <c r="V590" s="10"/>
      <c r="W590" s="11"/>
      <c r="X590" s="9" t="s">
        <v>5</v>
      </c>
      <c r="Y590" s="10"/>
      <c r="Z590" s="10"/>
      <c r="AA590" s="11"/>
      <c r="AB590" s="9" t="s">
        <v>6</v>
      </c>
      <c r="AC590" s="10"/>
      <c r="AD590" s="10"/>
      <c r="AE590" s="11"/>
    </row>
    <row r="591" spans="2:31" x14ac:dyDescent="0.3"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T591" s="12"/>
      <c r="U591" s="13"/>
      <c r="V591" s="13"/>
      <c r="W591" s="14"/>
      <c r="X591" s="12"/>
      <c r="Y591" s="13"/>
      <c r="Z591" s="13"/>
      <c r="AA591" s="14"/>
      <c r="AB591" s="12"/>
      <c r="AC591" s="13"/>
      <c r="AD591" s="13"/>
      <c r="AE591" s="14"/>
    </row>
    <row r="592" spans="2:31" x14ac:dyDescent="0.3">
      <c r="B592" s="3" t="s">
        <v>0</v>
      </c>
      <c r="C592" s="3" t="s">
        <v>1</v>
      </c>
      <c r="D592" s="3" t="s">
        <v>2</v>
      </c>
      <c r="E592" s="3" t="s">
        <v>3</v>
      </c>
      <c r="F592" s="3" t="s">
        <v>0</v>
      </c>
      <c r="G592" s="3" t="s">
        <v>1</v>
      </c>
      <c r="H592" s="3" t="s">
        <v>2</v>
      </c>
      <c r="I592" s="3" t="s">
        <v>3</v>
      </c>
      <c r="J592" s="3" t="s">
        <v>0</v>
      </c>
      <c r="K592" s="3" t="s">
        <v>1</v>
      </c>
      <c r="L592" s="3" t="s">
        <v>2</v>
      </c>
      <c r="M592" s="3" t="s">
        <v>3</v>
      </c>
      <c r="T592" s="3" t="s">
        <v>0</v>
      </c>
      <c r="U592" s="3" t="s">
        <v>1</v>
      </c>
      <c r="V592" s="3" t="s">
        <v>2</v>
      </c>
      <c r="W592" s="3" t="s">
        <v>3</v>
      </c>
      <c r="X592" s="3" t="s">
        <v>0</v>
      </c>
      <c r="Y592" s="3" t="s">
        <v>1</v>
      </c>
      <c r="Z592" s="3" t="s">
        <v>2</v>
      </c>
      <c r="AA592" s="3" t="s">
        <v>3</v>
      </c>
      <c r="AB592" s="3" t="s">
        <v>0</v>
      </c>
      <c r="AC592" s="3" t="s">
        <v>1</v>
      </c>
      <c r="AD592" s="3" t="s">
        <v>2</v>
      </c>
      <c r="AE592" s="3" t="s">
        <v>3</v>
      </c>
    </row>
    <row r="593" spans="1:31" x14ac:dyDescent="0.3">
      <c r="B593" s="3">
        <f>$B$4</f>
        <v>0.1</v>
      </c>
      <c r="C593" s="3">
        <f>U577</f>
        <v>9.9935059342084659E-2</v>
      </c>
      <c r="D593" s="3">
        <f>B593*C593+B594*C594</f>
        <v>2.9987011868416926E-2</v>
      </c>
      <c r="E593" s="3">
        <f>1/(1+EXP(-D593))</f>
        <v>0.50749619124788137</v>
      </c>
      <c r="F593" s="3">
        <f>E593</f>
        <v>0.50749619124788137</v>
      </c>
      <c r="G593" s="3">
        <f>Y577</f>
        <v>0.10329423267401672</v>
      </c>
      <c r="H593" s="3">
        <f>F593*G593+F594*G594</f>
        <v>0.15765426519832054</v>
      </c>
      <c r="I593" s="3">
        <f>1/(1+EXP(-H593))</f>
        <v>0.53933213377957578</v>
      </c>
      <c r="J593" s="3">
        <f>I593</f>
        <v>0.53933213377957578</v>
      </c>
      <c r="K593" s="3">
        <f>AC577</f>
        <v>-0.35520164123879355</v>
      </c>
      <c r="L593" s="3">
        <f>J593*K593+J594*K594</f>
        <v>-6.9113158242232742E-2</v>
      </c>
      <c r="M593" s="3">
        <f>1/(1+EXP(-L593))</f>
        <v>0.48272858482022429</v>
      </c>
      <c r="T593" s="3">
        <f>$O$19</f>
        <v>0.2</v>
      </c>
      <c r="U593" s="3">
        <f>C608</f>
        <v>9.9933864260691785E-2</v>
      </c>
      <c r="V593" s="3">
        <f>T593*U593+T594*U594</f>
        <v>5.9973545704276703E-2</v>
      </c>
      <c r="W593" s="3">
        <f>1/(1+EXP(-V593))</f>
        <v>0.51498889399150538</v>
      </c>
      <c r="X593" s="3">
        <f>W593</f>
        <v>0.51498889399150538</v>
      </c>
      <c r="Y593" s="3">
        <f>G608</f>
        <v>0.10366474918181112</v>
      </c>
      <c r="Z593" s="3">
        <f>X593*Y593+X594*Y594</f>
        <v>0.16236887532066119</v>
      </c>
      <c r="AA593" s="3">
        <f>1/(1+EXP(-Z593))</f>
        <v>0.54050327338898174</v>
      </c>
      <c r="AB593" s="3">
        <f>AA593</f>
        <v>0.54050327338898174</v>
      </c>
      <c r="AC593" s="3">
        <f>K608</f>
        <v>-0.37304891490905601</v>
      </c>
      <c r="AD593" s="3">
        <f>AB593*AC593+AB594*AC594</f>
        <v>-7.8727874362144623E-2</v>
      </c>
      <c r="AE593" s="3">
        <f>1/(1+EXP(-AD593))</f>
        <v>0.48032819097757101</v>
      </c>
    </row>
    <row r="594" spans="1:31" x14ac:dyDescent="0.3">
      <c r="B594" s="3">
        <f>$B$5</f>
        <v>0.1</v>
      </c>
      <c r="C594" s="3">
        <f>U578</f>
        <v>0.19993505934208458</v>
      </c>
      <c r="D594" s="3">
        <f>B593*C595+B594*C596</f>
        <v>6.9984615732276378E-2</v>
      </c>
      <c r="E594" s="3">
        <f>1/(1+EXP(-D594))</f>
        <v>0.51748901630601207</v>
      </c>
      <c r="F594" s="3">
        <f>E594</f>
        <v>0.51748901630601207</v>
      </c>
      <c r="G594" s="3">
        <f t="shared" ref="G594:G596" si="117">Y578</f>
        <v>0.20335279053759892</v>
      </c>
      <c r="H594" s="3">
        <f>F593*G595+F594*G596</f>
        <v>0.3540018591847745</v>
      </c>
      <c r="I594" s="3">
        <f>1/(1+EXP(-H594))</f>
        <v>0.5875876817821426</v>
      </c>
      <c r="J594" s="3">
        <f>I594</f>
        <v>0.5875876817821426</v>
      </c>
      <c r="K594" s="3">
        <f>AC578</f>
        <v>0.20840889733712384</v>
      </c>
      <c r="L594" s="3"/>
      <c r="M594" s="3"/>
      <c r="T594" s="3">
        <f t="shared" ref="T594:T600" si="118">$O$19</f>
        <v>0.2</v>
      </c>
      <c r="U594" s="3">
        <f t="shared" ref="U594:U596" si="119">C609</f>
        <v>0.19993386426069171</v>
      </c>
      <c r="V594" s="3">
        <f>T593*U595+T594*U596</f>
        <v>0.1399690666810301</v>
      </c>
      <c r="W594" s="3">
        <f>1/(1+EXP(-V594))</f>
        <v>0.53493524959002825</v>
      </c>
      <c r="X594" s="3">
        <f>W594</f>
        <v>0.53493524959002825</v>
      </c>
      <c r="Y594" s="3">
        <f t="shared" ref="Y594:Y596" si="120">G609</f>
        <v>0.20373060267973972</v>
      </c>
      <c r="Z594" s="3">
        <f>X593*Y595+X594*Y596</f>
        <v>0.36287523083640666</v>
      </c>
      <c r="AA594" s="3">
        <f>1/(1+EXP(-Z594))</f>
        <v>0.58973626774481569</v>
      </c>
      <c r="AB594" s="3">
        <f>AA594</f>
        <v>0.58973626774481569</v>
      </c>
      <c r="AC594" s="3">
        <f>K609</f>
        <v>0.20840889733712384</v>
      </c>
      <c r="AD594" s="3"/>
      <c r="AE594" s="3"/>
    </row>
    <row r="595" spans="1:31" x14ac:dyDescent="0.3">
      <c r="B595" s="3">
        <f>$B$6</f>
        <v>0.1</v>
      </c>
      <c r="C595" s="3">
        <f t="shared" ref="C595:C596" si="121">U579</f>
        <v>0.2999230786613819</v>
      </c>
      <c r="D595" s="3"/>
      <c r="E595" s="3"/>
      <c r="F595" s="3"/>
      <c r="G595" s="3">
        <f t="shared" si="117"/>
        <v>0.2949392405910376</v>
      </c>
      <c r="H595" s="3"/>
      <c r="I595" s="3"/>
      <c r="J595" s="3"/>
      <c r="K595" s="3"/>
      <c r="L595" s="3"/>
      <c r="M595" s="3"/>
      <c r="T595" s="3">
        <f t="shared" si="118"/>
        <v>0.2</v>
      </c>
      <c r="U595" s="3">
        <f t="shared" si="119"/>
        <v>0.29992266670257517</v>
      </c>
      <c r="V595" s="3"/>
      <c r="W595" s="3"/>
      <c r="X595" s="3"/>
      <c r="Y595" s="3">
        <f t="shared" si="120"/>
        <v>0.29472720490998855</v>
      </c>
      <c r="Z595" s="3"/>
      <c r="AA595" s="3"/>
      <c r="AB595" s="3"/>
      <c r="AC595" s="3"/>
      <c r="AD595" s="3"/>
      <c r="AE595" s="3"/>
    </row>
    <row r="596" spans="1:31" x14ac:dyDescent="0.3">
      <c r="B596" s="3">
        <f>$B$7</f>
        <v>0.1</v>
      </c>
      <c r="C596" s="3">
        <f t="shared" si="121"/>
        <v>0.39992307866138194</v>
      </c>
      <c r="D596" s="3"/>
      <c r="E596" s="3"/>
      <c r="F596" s="3"/>
      <c r="G596" s="3">
        <f t="shared" si="117"/>
        <v>0.39483218290078059</v>
      </c>
      <c r="H596" s="3"/>
      <c r="I596" s="3"/>
      <c r="J596" s="3"/>
      <c r="K596" s="3"/>
      <c r="L596" s="3"/>
      <c r="M596" s="3"/>
      <c r="T596" s="3">
        <f t="shared" si="118"/>
        <v>0.2</v>
      </c>
      <c r="U596" s="3">
        <f t="shared" si="119"/>
        <v>0.3999226667025752</v>
      </c>
      <c r="V596" s="3"/>
      <c r="W596" s="3"/>
      <c r="X596" s="3"/>
      <c r="Y596" s="3">
        <f t="shared" si="120"/>
        <v>0.39461597214314309</v>
      </c>
      <c r="Z596" s="3"/>
      <c r="AA596" s="3"/>
      <c r="AB596" s="3"/>
      <c r="AC596" s="3"/>
      <c r="AD596" s="3"/>
      <c r="AE596" s="3"/>
    </row>
    <row r="597" spans="1:31" x14ac:dyDescent="0.3">
      <c r="B597" s="3">
        <f>$B$8</f>
        <v>0.1</v>
      </c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T597" s="3">
        <f t="shared" si="118"/>
        <v>0.2</v>
      </c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 spans="1:31" x14ac:dyDescent="0.3">
      <c r="B598" s="3">
        <f>$B$9</f>
        <v>0.1</v>
      </c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T598" s="3">
        <f t="shared" si="118"/>
        <v>0.2</v>
      </c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 spans="1:31" x14ac:dyDescent="0.3">
      <c r="B599" s="3">
        <f>$B$10</f>
        <v>0.1</v>
      </c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T599" s="3">
        <f t="shared" si="118"/>
        <v>0.2</v>
      </c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 spans="1:31" x14ac:dyDescent="0.3">
      <c r="B600" s="3">
        <f>$B$11</f>
        <v>0.1</v>
      </c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T600" s="3">
        <f t="shared" si="118"/>
        <v>0.2</v>
      </c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2" spans="1:31" x14ac:dyDescent="0.3">
      <c r="A602" s="4" t="s">
        <v>7</v>
      </c>
      <c r="B602" s="5">
        <f>E593 * (1 - E593) * (G593 * F602 + G595 * F603)</f>
        <v>-1.1950813928696065E-4</v>
      </c>
      <c r="C602" s="6"/>
      <c r="D602" s="6"/>
      <c r="E602" s="7"/>
      <c r="F602" s="5">
        <f>I593 * (1 - I593) * K593 *J602</f>
        <v>7.3008726801150441E-3</v>
      </c>
      <c r="G602" s="6"/>
      <c r="H602" s="6"/>
      <c r="I602" s="7"/>
      <c r="J602" s="5">
        <f>$P$18 - M593</f>
        <v>-8.2728584820224271E-2</v>
      </c>
      <c r="K602" s="6"/>
      <c r="L602" s="6"/>
      <c r="M602" s="7"/>
      <c r="S602" s="4" t="s">
        <v>7</v>
      </c>
      <c r="T602" s="5">
        <f>W593 * (1 - W593) * (Y593 * X602 + Y595 * X603)</f>
        <v>2.5829254576866603E-5</v>
      </c>
      <c r="U602" s="6"/>
      <c r="V602" s="6"/>
      <c r="W602" s="7"/>
      <c r="X602" s="5">
        <f>AA593 * (1 - AA593) * AC593 *AB602</f>
        <v>-1.8225977549414204E-3</v>
      </c>
      <c r="Y602" s="6"/>
      <c r="Z602" s="6"/>
      <c r="AA602" s="7"/>
      <c r="AB602" s="5">
        <f>$P$19 - AE593</f>
        <v>1.9671809022428988E-2</v>
      </c>
      <c r="AC602" s="6"/>
      <c r="AD602" s="6"/>
      <c r="AE602" s="7"/>
    </row>
    <row r="603" spans="1:31" x14ac:dyDescent="0.3">
      <c r="B603" s="5">
        <f>E594 * (1 - E594) * (G594 * F602 + G596 * F603)</f>
        <v>-4.1195880673555994E-5</v>
      </c>
      <c r="C603" s="6"/>
      <c r="D603" s="6"/>
      <c r="E603" s="7"/>
      <c r="F603" s="5">
        <f>J594 * (1 - J594) * K594 * J602</f>
        <v>-4.1780743324929268E-3</v>
      </c>
      <c r="G603" s="6"/>
      <c r="H603" s="6"/>
      <c r="I603" s="7"/>
      <c r="T603" s="5">
        <f>W594 * (1 - W594) * (Y594 * X602 + Y596 * X603)</f>
        <v>5.0036845059963598E-6</v>
      </c>
      <c r="U603" s="6"/>
      <c r="V603" s="6"/>
      <c r="W603" s="7"/>
      <c r="X603" s="5">
        <f>AB594 * (1 - AB594) * AC594 * AB602</f>
        <v>9.9193112733193117E-4</v>
      </c>
      <c r="Y603" s="6"/>
      <c r="Z603" s="6"/>
      <c r="AA603" s="7"/>
    </row>
    <row r="605" spans="1:31" x14ac:dyDescent="0.3">
      <c r="B605" s="8" t="s">
        <v>4</v>
      </c>
      <c r="C605" s="8"/>
      <c r="D605" s="8"/>
      <c r="E605" s="8"/>
      <c r="F605" s="8" t="s">
        <v>5</v>
      </c>
      <c r="G605" s="8"/>
      <c r="H605" s="8"/>
      <c r="I605" s="8"/>
      <c r="J605" s="8" t="s">
        <v>6</v>
      </c>
      <c r="K605" s="8"/>
      <c r="L605" s="8"/>
      <c r="M605" s="8"/>
      <c r="T605" s="9" t="s">
        <v>4</v>
      </c>
      <c r="U605" s="10"/>
      <c r="V605" s="10"/>
      <c r="W605" s="11"/>
      <c r="X605" s="9" t="s">
        <v>5</v>
      </c>
      <c r="Y605" s="10"/>
      <c r="Z605" s="10"/>
      <c r="AA605" s="11"/>
      <c r="AB605" s="9" t="s">
        <v>6</v>
      </c>
      <c r="AC605" s="10"/>
      <c r="AD605" s="10"/>
      <c r="AE605" s="11"/>
    </row>
    <row r="606" spans="1:31" x14ac:dyDescent="0.3"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T606" s="12"/>
      <c r="U606" s="13"/>
      <c r="V606" s="13"/>
      <c r="W606" s="14"/>
      <c r="X606" s="12"/>
      <c r="Y606" s="13"/>
      <c r="Z606" s="13"/>
      <c r="AA606" s="14"/>
      <c r="AB606" s="12"/>
      <c r="AC606" s="13"/>
      <c r="AD606" s="13"/>
      <c r="AE606" s="14"/>
    </row>
    <row r="607" spans="1:31" x14ac:dyDescent="0.3">
      <c r="B607" s="3" t="s">
        <v>0</v>
      </c>
      <c r="C607" s="3" t="s">
        <v>1</v>
      </c>
      <c r="D607" s="3" t="s">
        <v>2</v>
      </c>
      <c r="E607" s="3" t="s">
        <v>3</v>
      </c>
      <c r="F607" s="3" t="s">
        <v>0</v>
      </c>
      <c r="G607" s="3" t="s">
        <v>1</v>
      </c>
      <c r="H607" s="3" t="s">
        <v>2</v>
      </c>
      <c r="I607" s="3" t="s">
        <v>3</v>
      </c>
      <c r="J607" s="3" t="s">
        <v>0</v>
      </c>
      <c r="K607" s="3" t="s">
        <v>1</v>
      </c>
      <c r="L607" s="3" t="s">
        <v>2</v>
      </c>
      <c r="M607" s="3" t="s">
        <v>3</v>
      </c>
      <c r="T607" s="3">
        <f>$O$19</f>
        <v>0.2</v>
      </c>
      <c r="U607" s="3" t="s">
        <v>1</v>
      </c>
      <c r="V607" s="3" t="s">
        <v>2</v>
      </c>
      <c r="W607" s="3" t="s">
        <v>3</v>
      </c>
      <c r="X607" s="3" t="s">
        <v>0</v>
      </c>
      <c r="Y607" s="3" t="s">
        <v>1</v>
      </c>
      <c r="Z607" s="3" t="s">
        <v>2</v>
      </c>
      <c r="AA607" s="3" t="s">
        <v>3</v>
      </c>
      <c r="AB607" s="3" t="s">
        <v>0</v>
      </c>
      <c r="AC607" s="3" t="s">
        <v>1</v>
      </c>
      <c r="AD607" s="3" t="s">
        <v>2</v>
      </c>
      <c r="AE607" s="3" t="s">
        <v>3</v>
      </c>
    </row>
    <row r="608" spans="1:31" x14ac:dyDescent="0.3">
      <c r="B608" s="3">
        <f>$B$4</f>
        <v>0.1</v>
      </c>
      <c r="C608" s="3">
        <f>C593 + $O$7 * B593 * B602</f>
        <v>9.9933864260691785E-2</v>
      </c>
      <c r="D608" s="3">
        <f>B608*C608+B609*C609</f>
        <v>2.9986772852138351E-2</v>
      </c>
      <c r="E608" s="3">
        <f>1/(1+EXP(-D608))</f>
        <v>0.5074961315072426</v>
      </c>
      <c r="F608" s="3">
        <f>E608</f>
        <v>0.5074961315072426</v>
      </c>
      <c r="G608" s="3">
        <f>G593 + $O$7 * F593 * F602</f>
        <v>0.10366474918181112</v>
      </c>
      <c r="H608" s="3">
        <f>F608*G608+F609*G609</f>
        <v>0.15803780416431062</v>
      </c>
      <c r="I608" s="3">
        <f>1/(1+EXP(-H608))</f>
        <v>0.53942742374121366</v>
      </c>
      <c r="J608" s="3">
        <f>I608</f>
        <v>0.53942742374121366</v>
      </c>
      <c r="K608" s="3">
        <f>K593 + $P$18 * J593 * J602</f>
        <v>-0.37304891490905601</v>
      </c>
      <c r="L608" s="3">
        <f>J608*K608+J609*K609</f>
        <v>-7.8785400953751139E-2</v>
      </c>
      <c r="M608" s="3">
        <f>1/(1+EXP(-L608))</f>
        <v>0.48031383160756752</v>
      </c>
      <c r="T608" s="3">
        <f t="shared" ref="T608:T614" si="122">$O$19</f>
        <v>0.2</v>
      </c>
      <c r="U608" s="3">
        <f>U593 + $O$7 * T593 * T602</f>
        <v>9.9934380845783322E-2</v>
      </c>
      <c r="V608" s="3">
        <f>T608*U608+T609*U609</f>
        <v>5.9973752338313313E-2</v>
      </c>
      <c r="W608" s="3">
        <f>1/(1+EXP(-V608))</f>
        <v>0.51498894560359054</v>
      </c>
      <c r="X608" s="3">
        <f>W608</f>
        <v>0.51498894560359054</v>
      </c>
      <c r="Y608" s="3">
        <f>Y593 + $O$7 * X593 * X602</f>
        <v>0.10357088742161025</v>
      </c>
      <c r="Z608" s="3">
        <f>X608*Y608+X609*Y609</f>
        <v>0.16226839025246773</v>
      </c>
      <c r="AA608" s="3">
        <f>1/(1+EXP(-Z608))</f>
        <v>0.54047831686765913</v>
      </c>
      <c r="AB608" s="3">
        <f>AA608</f>
        <v>0.54047831686765913</v>
      </c>
      <c r="AC608" s="3">
        <f>AC593 +  $P$19 * AB593 * AB602</f>
        <v>-0.36773257632400314</v>
      </c>
      <c r="AD608" s="3">
        <f>AB608*AC608+AB609*AC609</f>
        <v>-7.5842439886086868E-2</v>
      </c>
      <c r="AE608" s="3">
        <f>1/(1+EXP(-AD608))</f>
        <v>0.48104847337567436</v>
      </c>
    </row>
    <row r="609" spans="2:31" x14ac:dyDescent="0.3">
      <c r="B609" s="3">
        <f>$B$5</f>
        <v>0.1</v>
      </c>
      <c r="C609" s="3">
        <f>C594 + $O$7 * B594 * B602</f>
        <v>0.19993386426069171</v>
      </c>
      <c r="D609" s="3">
        <f>B608*C610+B609*C611</f>
        <v>6.9984533340515048E-2</v>
      </c>
      <c r="E609" s="3">
        <f>1/(1+EXP(-D609))</f>
        <v>0.51748899573327256</v>
      </c>
      <c r="F609" s="3">
        <f>E609</f>
        <v>0.51748899573327256</v>
      </c>
      <c r="G609" s="3">
        <f>G594 + $O$7 * F594 * F602</f>
        <v>0.20373060267973972</v>
      </c>
      <c r="H609" s="3">
        <f>F608*G610+F609*G611</f>
        <v>0.35378233946642579</v>
      </c>
      <c r="I609" s="3">
        <f>1/(1+EXP(-H609))</f>
        <v>0.58753448489785098</v>
      </c>
      <c r="J609" s="3">
        <f>I609</f>
        <v>0.58753448489785098</v>
      </c>
      <c r="K609" s="3">
        <f>K594 + $P$18 * J594 * J603</f>
        <v>0.20840889733712384</v>
      </c>
      <c r="L609" s="3"/>
      <c r="M609" s="3"/>
      <c r="T609" s="3">
        <f t="shared" si="122"/>
        <v>0.2</v>
      </c>
      <c r="U609" s="3">
        <f>U594 + $O$7 * T594 * T602</f>
        <v>0.19993438084578324</v>
      </c>
      <c r="V609" s="3">
        <f>T608*U610+T609*U611</f>
        <v>0.13996910671050611</v>
      </c>
      <c r="W609" s="3">
        <f>1/(1+EXP(-V609))</f>
        <v>0.53493525954854237</v>
      </c>
      <c r="X609" s="3">
        <f>W609</f>
        <v>0.53493525954854237</v>
      </c>
      <c r="Y609" s="3">
        <f>Y594 + $O$7 * X594 * X602</f>
        <v>0.20363310550124553</v>
      </c>
      <c r="Z609" s="3">
        <f>X608*Y610+X609*Y611</f>
        <v>0.36292994201621165</v>
      </c>
      <c r="AA609" s="3">
        <f>1/(1+EXP(-Z609))</f>
        <v>0.58974950490765143</v>
      </c>
      <c r="AB609" s="3">
        <f>AA609</f>
        <v>0.58974950490765143</v>
      </c>
      <c r="AC609" s="3">
        <f>AC594 +  $P$19 * AB594 * AB603</f>
        <v>0.20840889733712384</v>
      </c>
      <c r="AD609" s="3"/>
      <c r="AE609" s="3"/>
    </row>
    <row r="610" spans="2:31" x14ac:dyDescent="0.3">
      <c r="B610" s="3">
        <f>$B$6</f>
        <v>0.1</v>
      </c>
      <c r="C610" s="3">
        <f>C595 + $O$7 * B593 * B603</f>
        <v>0.29992266670257517</v>
      </c>
      <c r="D610" s="3"/>
      <c r="E610" s="3"/>
      <c r="F610" s="3"/>
      <c r="G610" s="3">
        <f>G595 + $O$7 * F593 * F603</f>
        <v>0.29472720490998855</v>
      </c>
      <c r="H610" s="3"/>
      <c r="I610" s="3"/>
      <c r="J610" s="3"/>
      <c r="K610" s="3"/>
      <c r="L610" s="3"/>
      <c r="M610" s="3"/>
      <c r="T610" s="3">
        <f t="shared" si="122"/>
        <v>0.2</v>
      </c>
      <c r="U610" s="3">
        <f>U595 + $O$7 * T593 * T603</f>
        <v>0.29992276677626528</v>
      </c>
      <c r="V610" s="3"/>
      <c r="W610" s="3"/>
      <c r="X610" s="3"/>
      <c r="Y610" s="3">
        <f>Y595 + $O$7 * X593 * X603</f>
        <v>0.29477828826140662</v>
      </c>
      <c r="Z610" s="3"/>
      <c r="AA610" s="3"/>
      <c r="AB610" s="3"/>
      <c r="AC610" s="3"/>
      <c r="AD610" s="3"/>
      <c r="AE610" s="3"/>
    </row>
    <row r="611" spans="2:31" x14ac:dyDescent="0.3">
      <c r="B611" s="3">
        <f>$B$7</f>
        <v>0.1</v>
      </c>
      <c r="C611" s="3">
        <f>C596 + $O$7 * B594* B603</f>
        <v>0.3999226667025752</v>
      </c>
      <c r="D611" s="3"/>
      <c r="E611" s="3"/>
      <c r="F611" s="3"/>
      <c r="G611" s="3">
        <f>G596 + $O$7 * F594* F603</f>
        <v>0.39461597214314309</v>
      </c>
      <c r="H611" s="3"/>
      <c r="I611" s="3"/>
      <c r="J611" s="3"/>
      <c r="K611" s="3"/>
      <c r="L611" s="3"/>
      <c r="M611" s="3"/>
      <c r="T611" s="3">
        <f t="shared" si="122"/>
        <v>0.2</v>
      </c>
      <c r="U611" s="3">
        <f>U596 + $O$7 * T594* T603</f>
        <v>0.39992276677626531</v>
      </c>
      <c r="V611" s="3"/>
      <c r="W611" s="3"/>
      <c r="X611" s="3"/>
      <c r="Y611" s="3">
        <f>Y596 + $O$7 * X594* X603</f>
        <v>0.39466903403566062</v>
      </c>
      <c r="Z611" s="3"/>
      <c r="AA611" s="3"/>
      <c r="AB611" s="3"/>
      <c r="AC611" s="3"/>
      <c r="AD611" s="3"/>
      <c r="AE611" s="3"/>
    </row>
    <row r="612" spans="2:31" x14ac:dyDescent="0.3">
      <c r="B612" s="3">
        <f>$B$8</f>
        <v>0.1</v>
      </c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T612" s="3">
        <f t="shared" si="122"/>
        <v>0.2</v>
      </c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 spans="2:31" x14ac:dyDescent="0.3">
      <c r="B613" s="3">
        <f>$B$9</f>
        <v>0.1</v>
      </c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T613" s="3">
        <f t="shared" si="122"/>
        <v>0.2</v>
      </c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 spans="2:31" x14ac:dyDescent="0.3">
      <c r="B614" s="3">
        <f>$B$10</f>
        <v>0.1</v>
      </c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T614" s="3">
        <f t="shared" si="122"/>
        <v>0.2</v>
      </c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 spans="2:31" x14ac:dyDescent="0.3">
      <c r="B615" s="3">
        <f>$B$11</f>
        <v>0.1</v>
      </c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T615" s="3">
        <f>$B$11</f>
        <v>0.1</v>
      </c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21" spans="2:31" x14ac:dyDescent="0.3">
      <c r="B621" s="8" t="s">
        <v>4</v>
      </c>
      <c r="C621" s="8"/>
      <c r="D621" s="8"/>
      <c r="E621" s="8"/>
      <c r="F621" s="8" t="s">
        <v>5</v>
      </c>
      <c r="G621" s="8"/>
      <c r="H621" s="8"/>
      <c r="I621" s="8"/>
      <c r="J621" s="8" t="s">
        <v>6</v>
      </c>
      <c r="K621" s="8"/>
      <c r="L621" s="8"/>
      <c r="M621" s="8"/>
      <c r="T621" s="9" t="s">
        <v>4</v>
      </c>
      <c r="U621" s="10"/>
      <c r="V621" s="10"/>
      <c r="W621" s="11"/>
      <c r="X621" s="9" t="s">
        <v>5</v>
      </c>
      <c r="Y621" s="10"/>
      <c r="Z621" s="10"/>
      <c r="AA621" s="11"/>
      <c r="AB621" s="9" t="s">
        <v>6</v>
      </c>
      <c r="AC621" s="10"/>
      <c r="AD621" s="10"/>
      <c r="AE621" s="11"/>
    </row>
    <row r="622" spans="2:31" x14ac:dyDescent="0.3"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T622" s="12"/>
      <c r="U622" s="13"/>
      <c r="V622" s="13"/>
      <c r="W622" s="14"/>
      <c r="X622" s="12"/>
      <c r="Y622" s="13"/>
      <c r="Z622" s="13"/>
      <c r="AA622" s="14"/>
      <c r="AB622" s="12"/>
      <c r="AC622" s="13"/>
      <c r="AD622" s="13"/>
      <c r="AE622" s="14"/>
    </row>
    <row r="623" spans="2:31" x14ac:dyDescent="0.3">
      <c r="B623" s="3" t="s">
        <v>0</v>
      </c>
      <c r="C623" s="3" t="s">
        <v>1</v>
      </c>
      <c r="D623" s="3" t="s">
        <v>2</v>
      </c>
      <c r="E623" s="3" t="s">
        <v>3</v>
      </c>
      <c r="F623" s="3" t="s">
        <v>0</v>
      </c>
      <c r="G623" s="3" t="s">
        <v>1</v>
      </c>
      <c r="H623" s="3" t="s">
        <v>2</v>
      </c>
      <c r="I623" s="3" t="s">
        <v>3</v>
      </c>
      <c r="J623" s="3" t="s">
        <v>0</v>
      </c>
      <c r="K623" s="3" t="s">
        <v>1</v>
      </c>
      <c r="L623" s="3" t="s">
        <v>2</v>
      </c>
      <c r="M623" s="3" t="s">
        <v>3</v>
      </c>
      <c r="T623" s="3" t="s">
        <v>0</v>
      </c>
      <c r="U623" s="3" t="s">
        <v>1</v>
      </c>
      <c r="V623" s="3" t="s">
        <v>2</v>
      </c>
      <c r="W623" s="3" t="s">
        <v>3</v>
      </c>
      <c r="X623" s="3" t="s">
        <v>0</v>
      </c>
      <c r="Y623" s="3" t="s">
        <v>1</v>
      </c>
      <c r="Z623" s="3" t="s">
        <v>2</v>
      </c>
      <c r="AA623" s="3" t="s">
        <v>3</v>
      </c>
      <c r="AB623" s="3" t="s">
        <v>0</v>
      </c>
      <c r="AC623" s="3" t="s">
        <v>1</v>
      </c>
      <c r="AD623" s="3" t="s">
        <v>2</v>
      </c>
      <c r="AE623" s="3" t="s">
        <v>3</v>
      </c>
    </row>
    <row r="624" spans="2:31" x14ac:dyDescent="0.3">
      <c r="B624" s="3">
        <f>$B$4</f>
        <v>0.1</v>
      </c>
      <c r="C624" s="3">
        <f>U608</f>
        <v>9.9934380845783322E-2</v>
      </c>
      <c r="D624" s="3">
        <f>B624*C624+B625*C625</f>
        <v>2.9986876169156657E-2</v>
      </c>
      <c r="E624" s="3">
        <f>1/(1+EXP(-D624))</f>
        <v>0.50749615733069153</v>
      </c>
      <c r="F624" s="3">
        <f>E624</f>
        <v>0.50749615733069153</v>
      </c>
      <c r="G624" s="3">
        <f>Y608</f>
        <v>0.10357088742161025</v>
      </c>
      <c r="H624" s="3">
        <f>F624*G624+F625*G625</f>
        <v>0.15793971965935316</v>
      </c>
      <c r="I624" s="3">
        <f>1/(1+EXP(-H624))</f>
        <v>0.5394030549952501</v>
      </c>
      <c r="J624" s="3">
        <f>I624</f>
        <v>0.5394030549952501</v>
      </c>
      <c r="K624" s="3">
        <f>AC608</f>
        <v>-0.36773257632400314</v>
      </c>
      <c r="L624" s="3">
        <f>J624*K624+J625*K625</f>
        <v>-7.5905964319826352E-2</v>
      </c>
      <c r="M624" s="3">
        <f>1/(1+EXP(-L624))</f>
        <v>0.48103261510179496</v>
      </c>
      <c r="T624" s="3">
        <f>$O$19</f>
        <v>0.2</v>
      </c>
      <c r="U624" s="3">
        <f>C639</f>
        <v>9.9933282032694429E-2</v>
      </c>
      <c r="V624" s="3">
        <f>T624*U624+T625*U625</f>
        <v>5.9973312813077759E-2</v>
      </c>
      <c r="W624" s="3">
        <f>1/(1+EXP(-V624))</f>
        <v>0.5149888358210285</v>
      </c>
      <c r="X624" s="3">
        <f>W624</f>
        <v>0.5149888358210285</v>
      </c>
      <c r="Y624" s="3">
        <f>G639</f>
        <v>0.10394660297371069</v>
      </c>
      <c r="Z624" s="3">
        <f>X624*Y624+X625*Y625</f>
        <v>0.16266680369852571</v>
      </c>
      <c r="AA624" s="3">
        <f>1/(1+EXP(-Z624))</f>
        <v>0.54057726583400911</v>
      </c>
      <c r="AB624" s="3">
        <f>AA624</f>
        <v>0.54057726583400911</v>
      </c>
      <c r="AC624" s="3">
        <f>K639</f>
        <v>-0.38521627238006811</v>
      </c>
      <c r="AD624" s="3">
        <f>AB624*AC624+AB625*AC625</f>
        <v>-8.5341223491549142E-2</v>
      </c>
      <c r="AE624" s="3">
        <f>1/(1+EXP(-AD624))</f>
        <v>0.47867763367710592</v>
      </c>
    </row>
    <row r="625" spans="1:31" x14ac:dyDescent="0.3">
      <c r="B625" s="3">
        <f>$B$5</f>
        <v>0.1</v>
      </c>
      <c r="C625" s="3">
        <f>U609</f>
        <v>0.19993438084578324</v>
      </c>
      <c r="D625" s="3">
        <f>B624*C626+B625*C627</f>
        <v>6.9984553355253054E-2</v>
      </c>
      <c r="E625" s="3">
        <f>1/(1+EXP(-D625))</f>
        <v>0.51748900073083526</v>
      </c>
      <c r="F625" s="3">
        <f>E625</f>
        <v>0.51748900073083526</v>
      </c>
      <c r="G625" s="3">
        <f t="shared" ref="G625:G627" si="123">Y609</f>
        <v>0.20363310550124553</v>
      </c>
      <c r="H625" s="3">
        <f>F624*G626+F625*G627</f>
        <v>0.3538357325997008</v>
      </c>
      <c r="I625" s="3">
        <f>1/(1+EXP(-H625))</f>
        <v>0.58754742400723259</v>
      </c>
      <c r="J625" s="3">
        <f>I625</f>
        <v>0.58754742400723259</v>
      </c>
      <c r="K625" s="3">
        <f>AC609</f>
        <v>0.20840889733712384</v>
      </c>
      <c r="L625" s="3"/>
      <c r="M625" s="3"/>
      <c r="T625" s="3">
        <f t="shared" ref="T625:T631" si="124">$O$19</f>
        <v>0.2</v>
      </c>
      <c r="U625" s="3">
        <f t="shared" ref="U625:U627" si="125">C640</f>
        <v>0.19993328203269434</v>
      </c>
      <c r="V625" s="3">
        <f>T624*U626+T625*U627</f>
        <v>0.13996899920359496</v>
      </c>
      <c r="W625" s="3">
        <f>1/(1+EXP(-V625))</f>
        <v>0.53493523280302369</v>
      </c>
      <c r="X625" s="3">
        <f>W625</f>
        <v>0.53493523280302369</v>
      </c>
      <c r="Y625" s="3">
        <f t="shared" ref="Y625:Y627" si="126">G640</f>
        <v>0.20401621907325393</v>
      </c>
      <c r="Z625" s="3">
        <f>X624*Y626+X625*Y627</f>
        <v>0.36270964755534868</v>
      </c>
      <c r="AA625" s="3">
        <f>1/(1+EXP(-Z625))</f>
        <v>0.58969620470490924</v>
      </c>
      <c r="AB625" s="3">
        <f>AA625</f>
        <v>0.58969620470490924</v>
      </c>
      <c r="AC625" s="3">
        <f>K640</f>
        <v>0.20840889733712384</v>
      </c>
      <c r="AD625" s="3"/>
      <c r="AE625" s="3"/>
    </row>
    <row r="626" spans="1:31" x14ac:dyDescent="0.3">
      <c r="B626" s="3">
        <f>$B$6</f>
        <v>0.1</v>
      </c>
      <c r="C626" s="3">
        <f t="shared" ref="C626:C627" si="127">U610</f>
        <v>0.29992276677626528</v>
      </c>
      <c r="D626" s="3"/>
      <c r="E626" s="3"/>
      <c r="F626" s="3"/>
      <c r="G626" s="3">
        <f t="shared" si="123"/>
        <v>0.29477828826140662</v>
      </c>
      <c r="H626" s="3"/>
      <c r="I626" s="3"/>
      <c r="J626" s="3"/>
      <c r="K626" s="3"/>
      <c r="L626" s="3"/>
      <c r="M626" s="3"/>
      <c r="T626" s="3">
        <f t="shared" si="124"/>
        <v>0.2</v>
      </c>
      <c r="U626" s="3">
        <f t="shared" si="125"/>
        <v>0.29992249800898735</v>
      </c>
      <c r="V626" s="3"/>
      <c r="W626" s="3"/>
      <c r="X626" s="3"/>
      <c r="Y626" s="3">
        <f t="shared" si="126"/>
        <v>0.29457059336943808</v>
      </c>
      <c r="Z626" s="3"/>
      <c r="AA626" s="3"/>
      <c r="AB626" s="3"/>
      <c r="AC626" s="3"/>
      <c r="AD626" s="3"/>
      <c r="AE626" s="3"/>
    </row>
    <row r="627" spans="1:31" x14ac:dyDescent="0.3">
      <c r="B627" s="3">
        <f>$B$7</f>
        <v>0.1</v>
      </c>
      <c r="C627" s="3">
        <f t="shared" si="127"/>
        <v>0.39992276677626531</v>
      </c>
      <c r="D627" s="3"/>
      <c r="E627" s="3"/>
      <c r="F627" s="3"/>
      <c r="G627" s="3">
        <f t="shared" si="123"/>
        <v>0.39466903403566062</v>
      </c>
      <c r="H627" s="3"/>
      <c r="I627" s="3"/>
      <c r="J627" s="3"/>
      <c r="K627" s="3"/>
      <c r="L627" s="3"/>
      <c r="M627" s="3"/>
      <c r="T627" s="3">
        <f t="shared" si="124"/>
        <v>0.2</v>
      </c>
      <c r="U627" s="3">
        <f t="shared" si="125"/>
        <v>0.39992249800898738</v>
      </c>
      <c r="V627" s="3"/>
      <c r="W627" s="3"/>
      <c r="X627" s="3"/>
      <c r="Y627" s="3">
        <f t="shared" si="126"/>
        <v>0.39445724953138567</v>
      </c>
      <c r="Z627" s="3"/>
      <c r="AA627" s="3"/>
      <c r="AB627" s="3"/>
      <c r="AC627" s="3"/>
      <c r="AD627" s="3"/>
      <c r="AE627" s="3"/>
    </row>
    <row r="628" spans="1:31" x14ac:dyDescent="0.3">
      <c r="B628" s="3">
        <f>$B$8</f>
        <v>0.1</v>
      </c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T628" s="3">
        <f t="shared" si="124"/>
        <v>0.2</v>
      </c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 spans="1:31" x14ac:dyDescent="0.3">
      <c r="B629" s="3">
        <f>$B$9</f>
        <v>0.1</v>
      </c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T629" s="3">
        <f t="shared" si="124"/>
        <v>0.2</v>
      </c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 spans="1:31" x14ac:dyDescent="0.3">
      <c r="B630" s="3">
        <f>$B$10</f>
        <v>0.1</v>
      </c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T630" s="3">
        <f t="shared" si="124"/>
        <v>0.2</v>
      </c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 spans="1:31" x14ac:dyDescent="0.3">
      <c r="B631" s="3">
        <f>$B$11</f>
        <v>0.1</v>
      </c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T631" s="3">
        <f t="shared" si="124"/>
        <v>0.2</v>
      </c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3" spans="1:31" x14ac:dyDescent="0.3">
      <c r="A633" s="4" t="s">
        <v>7</v>
      </c>
      <c r="B633" s="5">
        <f>E624 * (1 - E624) * (G624 * F633 + G626 * F634)</f>
        <v>-1.0988130888938753E-4</v>
      </c>
      <c r="C633" s="6"/>
      <c r="D633" s="6"/>
      <c r="E633" s="7"/>
      <c r="F633" s="5">
        <f>I624 * (1 - I624) * K624 *J633</f>
        <v>7.4033181665182739E-3</v>
      </c>
      <c r="G633" s="6"/>
      <c r="H633" s="6"/>
      <c r="I633" s="7"/>
      <c r="J633" s="5">
        <f>$P$18 - M624</f>
        <v>-8.1032615101794936E-2</v>
      </c>
      <c r="K633" s="6"/>
      <c r="L633" s="6"/>
      <c r="M633" s="7"/>
      <c r="S633" s="4" t="s">
        <v>7</v>
      </c>
      <c r="T633" s="5">
        <f>W624 * (1 - W624) * (Y624 * X633 + Y626 * X634)</f>
        <v>2.6146036905823992E-5</v>
      </c>
      <c r="U633" s="6"/>
      <c r="V633" s="6"/>
      <c r="W633" s="7"/>
      <c r="X633" s="5">
        <f>AA624 * (1 - AA624) * AC624 *AB633</f>
        <v>-2.039906605134686E-3</v>
      </c>
      <c r="Y633" s="6"/>
      <c r="Z633" s="6"/>
      <c r="AA633" s="7"/>
      <c r="AB633" s="5">
        <f>$P$19 - AE624</f>
        <v>2.1322366322894082E-2</v>
      </c>
      <c r="AC633" s="6"/>
      <c r="AD633" s="6"/>
      <c r="AE633" s="7"/>
    </row>
    <row r="634" spans="1:31" x14ac:dyDescent="0.3">
      <c r="B634" s="5">
        <f>E625 * (1 - E625) * (G625 * F633 + G627 * F634)</f>
        <v>-2.6876727792641045E-5</v>
      </c>
      <c r="C634" s="6"/>
      <c r="D634" s="6"/>
      <c r="E634" s="7"/>
      <c r="F634" s="5">
        <f>J625 * (1 - J625) * K625 * J633</f>
        <v>-4.0925411743211642E-3</v>
      </c>
      <c r="G634" s="6"/>
      <c r="H634" s="6"/>
      <c r="I634" s="7"/>
      <c r="T634" s="5">
        <f>W625 * (1 - W625) * (Y625 * X633 + Y627 * X634)</f>
        <v>1.9759952543082863E-6</v>
      </c>
      <c r="U634" s="6"/>
      <c r="V634" s="6"/>
      <c r="W634" s="7"/>
      <c r="X634" s="5">
        <f>AB625 * (1 - AB625) * AC625 * AB633</f>
        <v>1.0751907588553494E-3</v>
      </c>
      <c r="Y634" s="6"/>
      <c r="Z634" s="6"/>
      <c r="AA634" s="7"/>
    </row>
    <row r="636" spans="1:31" x14ac:dyDescent="0.3">
      <c r="B636" s="8" t="s">
        <v>4</v>
      </c>
      <c r="C636" s="8"/>
      <c r="D636" s="8"/>
      <c r="E636" s="8"/>
      <c r="F636" s="8" t="s">
        <v>5</v>
      </c>
      <c r="G636" s="8"/>
      <c r="H636" s="8"/>
      <c r="I636" s="8"/>
      <c r="J636" s="8" t="s">
        <v>6</v>
      </c>
      <c r="K636" s="8"/>
      <c r="L636" s="8"/>
      <c r="M636" s="8"/>
      <c r="T636" s="9" t="s">
        <v>4</v>
      </c>
      <c r="U636" s="10"/>
      <c r="V636" s="10"/>
      <c r="W636" s="11"/>
      <c r="X636" s="9" t="s">
        <v>5</v>
      </c>
      <c r="Y636" s="10"/>
      <c r="Z636" s="10"/>
      <c r="AA636" s="11"/>
      <c r="AB636" s="9" t="s">
        <v>6</v>
      </c>
      <c r="AC636" s="10"/>
      <c r="AD636" s="10"/>
      <c r="AE636" s="11"/>
    </row>
    <row r="637" spans="1:31" x14ac:dyDescent="0.3"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T637" s="12"/>
      <c r="U637" s="13"/>
      <c r="V637" s="13"/>
      <c r="W637" s="14"/>
      <c r="X637" s="12"/>
      <c r="Y637" s="13"/>
      <c r="Z637" s="13"/>
      <c r="AA637" s="14"/>
      <c r="AB637" s="12"/>
      <c r="AC637" s="13"/>
      <c r="AD637" s="13"/>
      <c r="AE637" s="14"/>
    </row>
    <row r="638" spans="1:31" x14ac:dyDescent="0.3">
      <c r="B638" s="3" t="s">
        <v>0</v>
      </c>
      <c r="C638" s="3" t="s">
        <v>1</v>
      </c>
      <c r="D638" s="3" t="s">
        <v>2</v>
      </c>
      <c r="E638" s="3" t="s">
        <v>3</v>
      </c>
      <c r="F638" s="3" t="s">
        <v>0</v>
      </c>
      <c r="G638" s="3" t="s">
        <v>1</v>
      </c>
      <c r="H638" s="3" t="s">
        <v>2</v>
      </c>
      <c r="I638" s="3" t="s">
        <v>3</v>
      </c>
      <c r="J638" s="3" t="s">
        <v>0</v>
      </c>
      <c r="K638" s="3" t="s">
        <v>1</v>
      </c>
      <c r="L638" s="3" t="s">
        <v>2</v>
      </c>
      <c r="M638" s="3" t="s">
        <v>3</v>
      </c>
      <c r="T638" s="3">
        <f>$O$19</f>
        <v>0.2</v>
      </c>
      <c r="U638" s="3" t="s">
        <v>1</v>
      </c>
      <c r="V638" s="3" t="s">
        <v>2</v>
      </c>
      <c r="W638" s="3" t="s">
        <v>3</v>
      </c>
      <c r="X638" s="3" t="s">
        <v>0</v>
      </c>
      <c r="Y638" s="3" t="s">
        <v>1</v>
      </c>
      <c r="Z638" s="3" t="s">
        <v>2</v>
      </c>
      <c r="AA638" s="3" t="s">
        <v>3</v>
      </c>
      <c r="AB638" s="3" t="s">
        <v>0</v>
      </c>
      <c r="AC638" s="3" t="s">
        <v>1</v>
      </c>
      <c r="AD638" s="3" t="s">
        <v>2</v>
      </c>
      <c r="AE638" s="3" t="s">
        <v>3</v>
      </c>
    </row>
    <row r="639" spans="1:31" x14ac:dyDescent="0.3">
      <c r="B639" s="3">
        <f>$B$4</f>
        <v>0.1</v>
      </c>
      <c r="C639" s="3">
        <f>C624 + $O$7 * B624 * B633</f>
        <v>9.9933282032694429E-2</v>
      </c>
      <c r="D639" s="3">
        <f>B639*C639+B640*C640</f>
        <v>2.9986656406538879E-2</v>
      </c>
      <c r="E639" s="3">
        <f>1/(1+EXP(-D639))</f>
        <v>0.50749610240238596</v>
      </c>
      <c r="F639" s="3">
        <f>E639</f>
        <v>0.50749610240238596</v>
      </c>
      <c r="G639" s="3">
        <f>G624 + $O$7 * F624 * F633</f>
        <v>0.10394660297371069</v>
      </c>
      <c r="H639" s="3">
        <f>F639*G639+F640*G640</f>
        <v>0.15832864246993789</v>
      </c>
      <c r="I639" s="3">
        <f>1/(1+EXP(-H639))</f>
        <v>0.53949968037407425</v>
      </c>
      <c r="J639" s="3">
        <f>I639</f>
        <v>0.53949968037407425</v>
      </c>
      <c r="K639" s="3">
        <f>K624 + $P$18 * J624 * J633</f>
        <v>-0.38521627238006811</v>
      </c>
      <c r="L639" s="3">
        <f>J639*K639+J640*K640</f>
        <v>-8.5384804913777562E-2</v>
      </c>
      <c r="M639" s="3">
        <f>1/(1+EXP(-L639))</f>
        <v>0.47866675814565857</v>
      </c>
      <c r="T639" s="3">
        <f t="shared" ref="T639:T645" si="128">$O$19</f>
        <v>0.2</v>
      </c>
      <c r="U639" s="3">
        <f>U624 + $O$7 * T624 * T633</f>
        <v>9.9933804953432542E-2</v>
      </c>
      <c r="V639" s="3">
        <f>T639*U639+T640*U640</f>
        <v>5.9973521981373006E-2</v>
      </c>
      <c r="W639" s="3">
        <f>1/(1+EXP(-V639))</f>
        <v>0.51498888806610921</v>
      </c>
      <c r="X639" s="3">
        <f>W639</f>
        <v>0.51498888806610921</v>
      </c>
      <c r="Y639" s="3">
        <f>Y624 + $O$7 * X624 * X633</f>
        <v>0.1038415500609345</v>
      </c>
      <c r="Z639" s="3">
        <f>X639*Y639+X640*Y640</f>
        <v>0.16255433575746592</v>
      </c>
      <c r="AA639" s="3">
        <f>1/(1+EXP(-Z639))</f>
        <v>0.54054933390139837</v>
      </c>
      <c r="AB639" s="3">
        <f>AA639</f>
        <v>0.54054933390139837</v>
      </c>
      <c r="AC639" s="3">
        <f>AC624 +  $P$19 * AB624 * AB633</f>
        <v>-0.37945307913609749</v>
      </c>
      <c r="AD639" s="3">
        <f>AB639*AC639+AB640*AC640</f>
        <v>-8.2212183189363186E-2</v>
      </c>
      <c r="AE639" s="3">
        <f>1/(1+EXP(-AD639))</f>
        <v>0.47945852261806565</v>
      </c>
    </row>
    <row r="640" spans="1:31" x14ac:dyDescent="0.3">
      <c r="B640" s="3">
        <f>$B$5</f>
        <v>0.1</v>
      </c>
      <c r="C640" s="3">
        <f>C625 + $O$7 * B625 * B633</f>
        <v>0.19993328203269434</v>
      </c>
      <c r="D640" s="3">
        <f>B639*C641+B640*C642</f>
        <v>6.9984499601797479E-2</v>
      </c>
      <c r="E640" s="3">
        <f>1/(1+EXP(-D640))</f>
        <v>0.51748898730891268</v>
      </c>
      <c r="F640" s="3">
        <f>E640</f>
        <v>0.51748898730891268</v>
      </c>
      <c r="G640" s="3">
        <f>G625 + $O$7 * F625 * F633</f>
        <v>0.20401621907325393</v>
      </c>
      <c r="H640" s="3">
        <f>F639*G641+F640*G642</f>
        <v>0.3536207106140038</v>
      </c>
      <c r="I640" s="3">
        <f>1/(1+EXP(-H640))</f>
        <v>0.58749531557715995</v>
      </c>
      <c r="J640" s="3">
        <f>I640</f>
        <v>0.58749531557715995</v>
      </c>
      <c r="K640" s="3">
        <f>K625 + $P$18 * J625 * J634</f>
        <v>0.20840889733712384</v>
      </c>
      <c r="L640" s="3"/>
      <c r="M640" s="3"/>
      <c r="T640" s="3">
        <f t="shared" si="128"/>
        <v>0.2</v>
      </c>
      <c r="U640" s="3">
        <f>U625 + $O$7 * T625 * T633</f>
        <v>0.19993380495343246</v>
      </c>
      <c r="V640" s="3">
        <f>T639*U641+T640*U642</f>
        <v>0.13996901501155698</v>
      </c>
      <c r="W640" s="3">
        <f>1/(1+EXP(-V640))</f>
        <v>0.53493523673572108</v>
      </c>
      <c r="X640" s="3">
        <f>W640</f>
        <v>0.53493523673572108</v>
      </c>
      <c r="Y640" s="3">
        <f>Y625 + $O$7 * X625 * X633</f>
        <v>0.20390709728178252</v>
      </c>
      <c r="Z640" s="3">
        <f>X639*Y641+X640*Y642</f>
        <v>0.36276894720693276</v>
      </c>
      <c r="AA640" s="3">
        <f>1/(1+EXP(-Z640))</f>
        <v>0.58971055245152726</v>
      </c>
      <c r="AB640" s="3">
        <f>AA640</f>
        <v>0.58971055245152726</v>
      </c>
      <c r="AC640" s="3">
        <f>AC625 +  $P$19 * AB625 * AB634</f>
        <v>0.20840889733712384</v>
      </c>
      <c r="AD640" s="3"/>
      <c r="AE640" s="3"/>
    </row>
    <row r="641" spans="2:31" x14ac:dyDescent="0.3">
      <c r="B641" s="3">
        <f>$B$6</f>
        <v>0.1</v>
      </c>
      <c r="C641" s="3">
        <f>C626 + $O$7 * B624 * B634</f>
        <v>0.29992249800898735</v>
      </c>
      <c r="D641" s="3"/>
      <c r="E641" s="3"/>
      <c r="F641" s="3"/>
      <c r="G641" s="3">
        <f>G626 + $O$7 * F624 * F634</f>
        <v>0.29457059336943808</v>
      </c>
      <c r="H641" s="3"/>
      <c r="I641" s="3"/>
      <c r="J641" s="3"/>
      <c r="K641" s="3"/>
      <c r="L641" s="3"/>
      <c r="M641" s="3"/>
      <c r="T641" s="3">
        <f t="shared" si="128"/>
        <v>0.2</v>
      </c>
      <c r="U641" s="3">
        <f>U626 + $O$7 * T624 * T634</f>
        <v>0.29992253752889242</v>
      </c>
      <c r="V641" s="3"/>
      <c r="W641" s="3"/>
      <c r="X641" s="3"/>
      <c r="Y641" s="3">
        <f>Y626 + $O$7 * X624 * X634</f>
        <v>0.29462596449315692</v>
      </c>
      <c r="Z641" s="3"/>
      <c r="AA641" s="3"/>
      <c r="AB641" s="3"/>
      <c r="AC641" s="3"/>
      <c r="AD641" s="3"/>
      <c r="AE641" s="3"/>
    </row>
    <row r="642" spans="2:31" x14ac:dyDescent="0.3">
      <c r="B642" s="3">
        <f>$B$7</f>
        <v>0.1</v>
      </c>
      <c r="C642" s="3">
        <f>C627 + $O$7 * B625* B634</f>
        <v>0.39992249800898738</v>
      </c>
      <c r="D642" s="3"/>
      <c r="E642" s="3"/>
      <c r="F642" s="3"/>
      <c r="G642" s="3">
        <f>G627 + $O$7 * F625* F634</f>
        <v>0.39445724953138567</v>
      </c>
      <c r="H642" s="3"/>
      <c r="I642" s="3"/>
      <c r="J642" s="3"/>
      <c r="K642" s="3"/>
      <c r="L642" s="3"/>
      <c r="M642" s="3"/>
      <c r="T642" s="3">
        <f t="shared" si="128"/>
        <v>0.2</v>
      </c>
      <c r="U642" s="3">
        <f>U627 + $O$7 * T625* T634</f>
        <v>0.39992253752889245</v>
      </c>
      <c r="V642" s="3"/>
      <c r="W642" s="3"/>
      <c r="X642" s="3"/>
      <c r="Y642" s="3">
        <f>Y627 + $O$7 * X625* X634</f>
        <v>0.39451476527327528</v>
      </c>
      <c r="Z642" s="3"/>
      <c r="AA642" s="3"/>
      <c r="AB642" s="3"/>
      <c r="AC642" s="3"/>
      <c r="AD642" s="3"/>
      <c r="AE642" s="3"/>
    </row>
    <row r="643" spans="2:31" x14ac:dyDescent="0.3">
      <c r="B643" s="3">
        <f>$B$8</f>
        <v>0.1</v>
      </c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T643" s="3">
        <f t="shared" si="128"/>
        <v>0.2</v>
      </c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 spans="2:31" x14ac:dyDescent="0.3">
      <c r="B644" s="3">
        <f>$B$9</f>
        <v>0.1</v>
      </c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T644" s="3">
        <f t="shared" si="128"/>
        <v>0.2</v>
      </c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 spans="2:31" x14ac:dyDescent="0.3">
      <c r="B645" s="3">
        <f>$B$10</f>
        <v>0.1</v>
      </c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T645" s="3">
        <f t="shared" si="128"/>
        <v>0.2</v>
      </c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 spans="2:31" x14ac:dyDescent="0.3">
      <c r="B646" s="3">
        <f>$B$11</f>
        <v>0.1</v>
      </c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T646" s="3">
        <f>$B$11</f>
        <v>0.1</v>
      </c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52" spans="2:31" x14ac:dyDescent="0.3">
      <c r="B652" s="8" t="s">
        <v>4</v>
      </c>
      <c r="C652" s="8"/>
      <c r="D652" s="8"/>
      <c r="E652" s="8"/>
      <c r="F652" s="8" t="s">
        <v>5</v>
      </c>
      <c r="G652" s="8"/>
      <c r="H652" s="8"/>
      <c r="I652" s="8"/>
      <c r="J652" s="8" t="s">
        <v>6</v>
      </c>
      <c r="K652" s="8"/>
      <c r="L652" s="8"/>
      <c r="M652" s="8"/>
      <c r="T652" s="9" t="s">
        <v>4</v>
      </c>
      <c r="U652" s="10"/>
      <c r="V652" s="10"/>
      <c r="W652" s="11"/>
      <c r="X652" s="9" t="s">
        <v>5</v>
      </c>
      <c r="Y652" s="10"/>
      <c r="Z652" s="10"/>
      <c r="AA652" s="11"/>
      <c r="AB652" s="9" t="s">
        <v>6</v>
      </c>
      <c r="AC652" s="10"/>
      <c r="AD652" s="10"/>
      <c r="AE652" s="11"/>
    </row>
    <row r="653" spans="2:31" x14ac:dyDescent="0.3"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T653" s="12"/>
      <c r="U653" s="13"/>
      <c r="V653" s="13"/>
      <c r="W653" s="14"/>
      <c r="X653" s="12"/>
      <c r="Y653" s="13"/>
      <c r="Z653" s="13"/>
      <c r="AA653" s="14"/>
      <c r="AB653" s="12"/>
      <c r="AC653" s="13"/>
      <c r="AD653" s="13"/>
      <c r="AE653" s="14"/>
    </row>
    <row r="654" spans="2:31" x14ac:dyDescent="0.3">
      <c r="B654" s="3" t="s">
        <v>0</v>
      </c>
      <c r="C654" s="3" t="s">
        <v>1</v>
      </c>
      <c r="D654" s="3" t="s">
        <v>2</v>
      </c>
      <c r="E654" s="3" t="s">
        <v>3</v>
      </c>
      <c r="F654" s="3" t="s">
        <v>0</v>
      </c>
      <c r="G654" s="3" t="s">
        <v>1</v>
      </c>
      <c r="H654" s="3" t="s">
        <v>2</v>
      </c>
      <c r="I654" s="3" t="s">
        <v>3</v>
      </c>
      <c r="J654" s="3" t="s">
        <v>0</v>
      </c>
      <c r="K654" s="3" t="s">
        <v>1</v>
      </c>
      <c r="L654" s="3" t="s">
        <v>2</v>
      </c>
      <c r="M654" s="3" t="s">
        <v>3</v>
      </c>
      <c r="T654" s="3" t="s">
        <v>0</v>
      </c>
      <c r="U654" s="3" t="s">
        <v>1</v>
      </c>
      <c r="V654" s="3" t="s">
        <v>2</v>
      </c>
      <c r="W654" s="3" t="s">
        <v>3</v>
      </c>
      <c r="X654" s="3" t="s">
        <v>0</v>
      </c>
      <c r="Y654" s="3" t="s">
        <v>1</v>
      </c>
      <c r="Z654" s="3" t="s">
        <v>2</v>
      </c>
      <c r="AA654" s="3" t="s">
        <v>3</v>
      </c>
      <c r="AB654" s="3" t="s">
        <v>0</v>
      </c>
      <c r="AC654" s="3" t="s">
        <v>1</v>
      </c>
      <c r="AD654" s="3" t="s">
        <v>2</v>
      </c>
      <c r="AE654" s="3" t="s">
        <v>3</v>
      </c>
    </row>
    <row r="655" spans="2:31" x14ac:dyDescent="0.3">
      <c r="B655" s="3">
        <f>$B$4</f>
        <v>0.1</v>
      </c>
      <c r="C655" s="3">
        <f>U639</f>
        <v>9.9933804953432542E-2</v>
      </c>
      <c r="D655" s="3">
        <f>B655*C655+B656*C656</f>
        <v>2.9986760990686503E-2</v>
      </c>
      <c r="E655" s="3">
        <f>1/(1+EXP(-D655))</f>
        <v>0.50749612854254611</v>
      </c>
      <c r="F655" s="3">
        <f>E655</f>
        <v>0.50749612854254611</v>
      </c>
      <c r="G655" s="3">
        <f>Y639</f>
        <v>0.1038415500609345</v>
      </c>
      <c r="H655" s="3">
        <f>F655*G655+F656*G656</f>
        <v>0.15821886231765733</v>
      </c>
      <c r="I655" s="3">
        <f>1/(1+EXP(-H655))</f>
        <v>0.53947240649947492</v>
      </c>
      <c r="J655" s="3">
        <f>I655</f>
        <v>0.53947240649947492</v>
      </c>
      <c r="K655" s="3">
        <f>AC639</f>
        <v>-0.37945307913609749</v>
      </c>
      <c r="L655" s="3">
        <f>J655*K655+J656*K656</f>
        <v>-8.2262291888271846E-2</v>
      </c>
      <c r="M655" s="3">
        <f>1/(1+EXP(-L655))</f>
        <v>0.47944601659969399</v>
      </c>
      <c r="T655" s="3">
        <f>$O$19</f>
        <v>0.2</v>
      </c>
      <c r="U655" s="3">
        <f>C670</f>
        <v>9.9932794012230361E-2</v>
      </c>
      <c r="V655" s="3">
        <f>T655*U655+T656*U656</f>
        <v>5.9973117604892129E-2</v>
      </c>
      <c r="W655" s="3">
        <f>1/(1+EXP(-V655))</f>
        <v>0.51498878706283835</v>
      </c>
      <c r="X655" s="3">
        <f>W655</f>
        <v>0.51498878706283835</v>
      </c>
      <c r="Y655" s="3">
        <f>G670</f>
        <v>0.10422164127811888</v>
      </c>
      <c r="Z655" s="3">
        <f>X655*Y655+X656*Y656</f>
        <v>0.16295739289347888</v>
      </c>
      <c r="AA655" s="3">
        <f>1/(1+EXP(-Z655))</f>
        <v>0.54064943382196029</v>
      </c>
      <c r="AB655" s="3">
        <f>AA655</f>
        <v>0.54064943382196029</v>
      </c>
      <c r="AC655" s="3">
        <f>K670</f>
        <v>-0.39659665264083116</v>
      </c>
      <c r="AD655" s="3">
        <f>AB655*AC655+AB656*AC656</f>
        <v>-9.1529720725098601E-2</v>
      </c>
      <c r="AE655" s="3">
        <f>1/(1+EXP(-AD655))</f>
        <v>0.47713353160501765</v>
      </c>
    </row>
    <row r="656" spans="2:31" x14ac:dyDescent="0.3">
      <c r="B656" s="3">
        <f>$B$5</f>
        <v>0.1</v>
      </c>
      <c r="C656" s="3">
        <f>U640</f>
        <v>0.19993380495343246</v>
      </c>
      <c r="D656" s="3">
        <f>B655*C657+B656*C658</f>
        <v>6.998450750577849E-2</v>
      </c>
      <c r="E656" s="3">
        <f>1/(1+EXP(-D656))</f>
        <v>0.51748898928249043</v>
      </c>
      <c r="F656" s="3">
        <f>E656</f>
        <v>0.51748898928249043</v>
      </c>
      <c r="G656" s="3">
        <f t="shared" ref="G656:G658" si="129">Y640</f>
        <v>0.20390709728178252</v>
      </c>
      <c r="H656" s="3">
        <f>F655*G657+F656*G658</f>
        <v>0.35367858348667697</v>
      </c>
      <c r="I656" s="3">
        <f>1/(1+EXP(-H656))</f>
        <v>0.58750934068256677</v>
      </c>
      <c r="J656" s="3">
        <f>I656</f>
        <v>0.58750934068256677</v>
      </c>
      <c r="K656" s="3">
        <f>AC640</f>
        <v>0.20840889733712384</v>
      </c>
      <c r="L656" s="3"/>
      <c r="M656" s="3"/>
      <c r="T656" s="3">
        <f t="shared" ref="T656:T662" si="130">$O$19</f>
        <v>0.2</v>
      </c>
      <c r="U656" s="3">
        <f t="shared" ref="U656:U658" si="131">C671</f>
        <v>0.1999327940122303</v>
      </c>
      <c r="V656" s="3">
        <f>T655*U657+T656*U658</f>
        <v>0.13996895925143926</v>
      </c>
      <c r="W656" s="3">
        <f>1/(1+EXP(-V656))</f>
        <v>0.53493522286374517</v>
      </c>
      <c r="X656" s="3">
        <f>W656</f>
        <v>0.53493522286374517</v>
      </c>
      <c r="Y656" s="3">
        <f t="shared" ref="Y656:Y658" si="132">G671</f>
        <v>0.20429467269123594</v>
      </c>
      <c r="Z656" s="3">
        <f>X655*Y657+X656*Y658</f>
        <v>0.36255296698274664</v>
      </c>
      <c r="AA656" s="3">
        <f>1/(1+EXP(-Z656))</f>
        <v>0.58965829458837138</v>
      </c>
      <c r="AB656" s="3">
        <f>AA656</f>
        <v>0.58965829458837138</v>
      </c>
      <c r="AC656" s="3">
        <f>K671</f>
        <v>0.20840889733712384</v>
      </c>
      <c r="AD656" s="3"/>
      <c r="AE656" s="3"/>
    </row>
    <row r="657" spans="1:31" x14ac:dyDescent="0.3">
      <c r="B657" s="3">
        <f>$B$6</f>
        <v>0.1</v>
      </c>
      <c r="C657" s="3">
        <f t="shared" ref="C657:C658" si="133">U641</f>
        <v>0.29992253752889242</v>
      </c>
      <c r="D657" s="3"/>
      <c r="E657" s="3"/>
      <c r="F657" s="3"/>
      <c r="G657" s="3">
        <f t="shared" si="129"/>
        <v>0.29462596449315692</v>
      </c>
      <c r="H657" s="3"/>
      <c r="I657" s="3"/>
      <c r="J657" s="3"/>
      <c r="K657" s="3"/>
      <c r="L657" s="3"/>
      <c r="M657" s="3"/>
      <c r="T657" s="3">
        <f t="shared" si="130"/>
        <v>0.2</v>
      </c>
      <c r="U657" s="3">
        <f t="shared" si="131"/>
        <v>0.29992239812859811</v>
      </c>
      <c r="V657" s="3"/>
      <c r="W657" s="3"/>
      <c r="X657" s="3"/>
      <c r="Y657" s="3">
        <f t="shared" si="132"/>
        <v>0.29442233062530787</v>
      </c>
      <c r="Z657" s="3"/>
      <c r="AA657" s="3"/>
      <c r="AB657" s="3"/>
      <c r="AC657" s="3"/>
      <c r="AD657" s="3"/>
      <c r="AE657" s="3"/>
    </row>
    <row r="658" spans="1:31" x14ac:dyDescent="0.3">
      <c r="B658" s="3">
        <f>$B$7</f>
        <v>0.1</v>
      </c>
      <c r="C658" s="3">
        <f t="shared" si="133"/>
        <v>0.39992253752889245</v>
      </c>
      <c r="D658" s="3"/>
      <c r="E658" s="3"/>
      <c r="F658" s="3"/>
      <c r="G658" s="3">
        <f t="shared" si="129"/>
        <v>0.39451476527327528</v>
      </c>
      <c r="H658" s="3"/>
      <c r="I658" s="3"/>
      <c r="J658" s="3"/>
      <c r="K658" s="3"/>
      <c r="L658" s="3"/>
      <c r="M658" s="3"/>
      <c r="T658" s="3">
        <f t="shared" si="130"/>
        <v>0.2</v>
      </c>
      <c r="U658" s="3">
        <f t="shared" si="131"/>
        <v>0.39992239812859814</v>
      </c>
      <c r="V658" s="3"/>
      <c r="W658" s="3"/>
      <c r="X658" s="3"/>
      <c r="Y658" s="3">
        <f t="shared" si="132"/>
        <v>0.3943071217494527</v>
      </c>
      <c r="Z658" s="3"/>
      <c r="AA658" s="3"/>
      <c r="AB658" s="3"/>
      <c r="AC658" s="3"/>
      <c r="AD658" s="3"/>
      <c r="AE658" s="3"/>
    </row>
    <row r="659" spans="1:31" x14ac:dyDescent="0.3">
      <c r="B659" s="3">
        <f>$B$8</f>
        <v>0.1</v>
      </c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T659" s="3">
        <f t="shared" si="130"/>
        <v>0.2</v>
      </c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 spans="1:31" x14ac:dyDescent="0.3">
      <c r="B660" s="3">
        <f>$B$9</f>
        <v>0.1</v>
      </c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T660" s="3">
        <f t="shared" si="130"/>
        <v>0.2</v>
      </c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 spans="1:31" x14ac:dyDescent="0.3">
      <c r="B661" s="3">
        <f>$B$10</f>
        <v>0.1</v>
      </c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T661" s="3">
        <f t="shared" si="130"/>
        <v>0.2</v>
      </c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 spans="1:31" x14ac:dyDescent="0.3">
      <c r="B662" s="3">
        <f>$B$11</f>
        <v>0.1</v>
      </c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T662" s="3">
        <f t="shared" si="130"/>
        <v>0.2</v>
      </c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4" spans="1:31" x14ac:dyDescent="0.3">
      <c r="A664" s="4" t="s">
        <v>7</v>
      </c>
      <c r="B664" s="5">
        <f>E655 * (1 - E655) * (G655 * F664 + G657 * F665)</f>
        <v>-1.0109412021767416E-4</v>
      </c>
      <c r="C664" s="6"/>
      <c r="D664" s="6"/>
      <c r="E664" s="7"/>
      <c r="F664" s="5">
        <f>I655 * (1 - I655) * K655 *J664</f>
        <v>7.4895392458648397E-3</v>
      </c>
      <c r="G664" s="6"/>
      <c r="H664" s="6"/>
      <c r="I664" s="7"/>
      <c r="J664" s="5">
        <f>$P$18 - M655</f>
        <v>-7.9446016599693969E-2</v>
      </c>
      <c r="K664" s="6"/>
      <c r="L664" s="6"/>
      <c r="M664" s="7"/>
      <c r="S664" s="4" t="s">
        <v>7</v>
      </c>
      <c r="T664" s="5">
        <f>W655 * (1 - W655) * (Y655 * X664 + Y657 * X665)</f>
        <v>2.616781929045688E-5</v>
      </c>
      <c r="U664" s="6"/>
      <c r="V664" s="6"/>
      <c r="W664" s="7"/>
      <c r="X664" s="5">
        <f>AA655 * (1 - AA655) * AC655 *AB664</f>
        <v>-2.2522061921856581E-3</v>
      </c>
      <c r="Y664" s="6"/>
      <c r="Z664" s="6"/>
      <c r="AA664" s="7"/>
      <c r="AB664" s="5">
        <f>$P$19 - AE655</f>
        <v>2.2866468394982353E-2</v>
      </c>
      <c r="AC664" s="6"/>
      <c r="AD664" s="6"/>
      <c r="AE664" s="7"/>
    </row>
    <row r="665" spans="1:31" x14ac:dyDescent="0.3">
      <c r="B665" s="5">
        <f>E656 * (1 - E656) * (G656 * F664 + G658 * F665)</f>
        <v>-1.3940029430988642E-5</v>
      </c>
      <c r="C665" s="6"/>
      <c r="D665" s="6"/>
      <c r="E665" s="7"/>
      <c r="F665" s="5">
        <f>J656 * (1 - J656) * K656 * J664</f>
        <v>-4.0125206163414582E-3</v>
      </c>
      <c r="G665" s="6"/>
      <c r="H665" s="6"/>
      <c r="I665" s="7"/>
      <c r="T665" s="5">
        <f>W656 * (1 - W656) * (Y656 * X664 + Y658 * X665)</f>
        <v>-1.3543545432475361E-6</v>
      </c>
      <c r="U665" s="6"/>
      <c r="V665" s="6"/>
      <c r="W665" s="7"/>
      <c r="X665" s="5">
        <f>AB656 * (1 - AB656) * AC656 * AB664</f>
        <v>1.1530852644738459E-3</v>
      </c>
      <c r="Y665" s="6"/>
      <c r="Z665" s="6"/>
      <c r="AA665" s="7"/>
    </row>
    <row r="667" spans="1:31" x14ac:dyDescent="0.3">
      <c r="B667" s="8" t="s">
        <v>4</v>
      </c>
      <c r="C667" s="8"/>
      <c r="D667" s="8"/>
      <c r="E667" s="8"/>
      <c r="F667" s="8" t="s">
        <v>5</v>
      </c>
      <c r="G667" s="8"/>
      <c r="H667" s="8"/>
      <c r="I667" s="8"/>
      <c r="J667" s="8" t="s">
        <v>6</v>
      </c>
      <c r="K667" s="8"/>
      <c r="L667" s="8"/>
      <c r="M667" s="8"/>
      <c r="T667" s="9" t="s">
        <v>4</v>
      </c>
      <c r="U667" s="10"/>
      <c r="V667" s="10"/>
      <c r="W667" s="11"/>
      <c r="X667" s="9" t="s">
        <v>5</v>
      </c>
      <c r="Y667" s="10"/>
      <c r="Z667" s="10"/>
      <c r="AA667" s="11"/>
      <c r="AB667" s="9" t="s">
        <v>6</v>
      </c>
      <c r="AC667" s="10"/>
      <c r="AD667" s="10"/>
      <c r="AE667" s="11"/>
    </row>
    <row r="668" spans="1:31" x14ac:dyDescent="0.3"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T668" s="12"/>
      <c r="U668" s="13"/>
      <c r="V668" s="13"/>
      <c r="W668" s="14"/>
      <c r="X668" s="12"/>
      <c r="Y668" s="13"/>
      <c r="Z668" s="13"/>
      <c r="AA668" s="14"/>
      <c r="AB668" s="12"/>
      <c r="AC668" s="13"/>
      <c r="AD668" s="13"/>
      <c r="AE668" s="14"/>
    </row>
    <row r="669" spans="1:31" x14ac:dyDescent="0.3">
      <c r="B669" s="3" t="s">
        <v>0</v>
      </c>
      <c r="C669" s="3" t="s">
        <v>1</v>
      </c>
      <c r="D669" s="3" t="s">
        <v>2</v>
      </c>
      <c r="E669" s="3" t="s">
        <v>3</v>
      </c>
      <c r="F669" s="3" t="s">
        <v>0</v>
      </c>
      <c r="G669" s="3" t="s">
        <v>1</v>
      </c>
      <c r="H669" s="3" t="s">
        <v>2</v>
      </c>
      <c r="I669" s="3" t="s">
        <v>3</v>
      </c>
      <c r="J669" s="3" t="s">
        <v>0</v>
      </c>
      <c r="K669" s="3" t="s">
        <v>1</v>
      </c>
      <c r="L669" s="3" t="s">
        <v>2</v>
      </c>
      <c r="M669" s="3" t="s">
        <v>3</v>
      </c>
      <c r="T669" s="3">
        <f>$O$19</f>
        <v>0.2</v>
      </c>
      <c r="U669" s="3" t="s">
        <v>1</v>
      </c>
      <c r="V669" s="3" t="s">
        <v>2</v>
      </c>
      <c r="W669" s="3" t="s">
        <v>3</v>
      </c>
      <c r="X669" s="3" t="s">
        <v>0</v>
      </c>
      <c r="Y669" s="3" t="s">
        <v>1</v>
      </c>
      <c r="Z669" s="3" t="s">
        <v>2</v>
      </c>
      <c r="AA669" s="3" t="s">
        <v>3</v>
      </c>
      <c r="AB669" s="3" t="s">
        <v>0</v>
      </c>
      <c r="AC669" s="3" t="s">
        <v>1</v>
      </c>
      <c r="AD669" s="3" t="s">
        <v>2</v>
      </c>
      <c r="AE669" s="3" t="s">
        <v>3</v>
      </c>
    </row>
    <row r="670" spans="1:31" x14ac:dyDescent="0.3">
      <c r="B670" s="3">
        <f>$B$4</f>
        <v>0.1</v>
      </c>
      <c r="C670" s="3">
        <f>C655 + $O$7 * B655 * B664</f>
        <v>9.9932794012230361E-2</v>
      </c>
      <c r="D670" s="3">
        <f>B670*C670+B671*C671</f>
        <v>2.9986558802446064E-2</v>
      </c>
      <c r="E670" s="3">
        <f>1/(1+EXP(-D670))</f>
        <v>0.50749607800684726</v>
      </c>
      <c r="F670" s="3">
        <f>E670</f>
        <v>0.50749607800684726</v>
      </c>
      <c r="G670" s="3">
        <f>G655 + $O$7 * F655 * F664</f>
        <v>0.10422164127811888</v>
      </c>
      <c r="H670" s="3">
        <f>F670*G670+F671*G671</f>
        <v>0.15861231645667198</v>
      </c>
      <c r="I670" s="3">
        <f>1/(1+EXP(-H670))</f>
        <v>0.5395701554854343</v>
      </c>
      <c r="J670" s="3">
        <f>I670</f>
        <v>0.5395701554854343</v>
      </c>
      <c r="K670" s="3">
        <f>K655 + $P$18 * J655 * J664</f>
        <v>-0.39659665264083116</v>
      </c>
      <c r="L670" s="3">
        <f>J670*K670+J671*K671</f>
        <v>-9.1560191298282106E-2</v>
      </c>
      <c r="M670" s="3">
        <f>1/(1+EXP(-L670))</f>
        <v>0.47712592989933128</v>
      </c>
      <c r="T670" s="3">
        <f t="shared" ref="T670:T676" si="134">$O$19</f>
        <v>0.2</v>
      </c>
      <c r="U670" s="3">
        <f>U655 + $O$7 * T655 * T664</f>
        <v>9.9933317368616173E-2</v>
      </c>
      <c r="V670" s="3">
        <f>T670*U670+T671*U671</f>
        <v>5.9973326947446462E-2</v>
      </c>
      <c r="W670" s="3">
        <f>1/(1+EXP(-V670))</f>
        <v>0.51498883935144513</v>
      </c>
      <c r="X670" s="3">
        <f>W670</f>
        <v>0.51498883935144513</v>
      </c>
      <c r="Y670" s="3">
        <f>Y655 + $O$7 * X655 * X664</f>
        <v>0.10410565518460597</v>
      </c>
      <c r="Z670" s="3">
        <f>X670*Y670+X671*Y671</f>
        <v>0.16283321808676171</v>
      </c>
      <c r="AA670" s="3">
        <f>1/(1+EXP(-Z670))</f>
        <v>0.54061859514818711</v>
      </c>
      <c r="AB670" s="3">
        <f>AA670</f>
        <v>0.54061859514818711</v>
      </c>
      <c r="AC670" s="3">
        <f>AC655 +  $P$19 * AB655 * AB664</f>
        <v>-0.39041528104520368</v>
      </c>
      <c r="AD670" s="3">
        <f>AB670*AC670+AB671*AC671</f>
        <v>-8.8172519057754528E-2</v>
      </c>
      <c r="AE670" s="3">
        <f>1/(1+EXP(-AD670))</f>
        <v>0.47797114013804065</v>
      </c>
    </row>
    <row r="671" spans="1:31" x14ac:dyDescent="0.3">
      <c r="B671" s="3">
        <f>$B$5</f>
        <v>0.1</v>
      </c>
      <c r="C671" s="3">
        <f>C656 + $O$7 * B656 * B664</f>
        <v>0.1999327940122303</v>
      </c>
      <c r="D671" s="3">
        <f>B670*C672+B671*C673</f>
        <v>6.9984479625719631E-2</v>
      </c>
      <c r="E671" s="3">
        <f>1/(1+EXP(-D671))</f>
        <v>0.51748898232100315</v>
      </c>
      <c r="F671" s="3">
        <f>E671</f>
        <v>0.51748898232100315</v>
      </c>
      <c r="G671" s="3">
        <f>G656 + $O$7 * F656 * F664</f>
        <v>0.20429467269123594</v>
      </c>
      <c r="H671" s="3">
        <f>F670*G672+F671*G673</f>
        <v>0.35346776922602718</v>
      </c>
      <c r="I671" s="3">
        <f>1/(1+EXP(-H671))</f>
        <v>0.58745825056637457</v>
      </c>
      <c r="J671" s="3">
        <f>I671</f>
        <v>0.58745825056637457</v>
      </c>
      <c r="K671" s="3">
        <f>K656 + $P$18 * J656 * J665</f>
        <v>0.20840889733712384</v>
      </c>
      <c r="L671" s="3"/>
      <c r="M671" s="3"/>
      <c r="T671" s="3">
        <f t="shared" si="134"/>
        <v>0.2</v>
      </c>
      <c r="U671" s="3">
        <f>U656 + $O$7 * T656 * T664</f>
        <v>0.19993331736861611</v>
      </c>
      <c r="V671" s="3">
        <f>T670*U672+T671*U673</f>
        <v>0.1399689484166029</v>
      </c>
      <c r="W671" s="3">
        <f>1/(1+EXP(-V671))</f>
        <v>0.53493522016825967</v>
      </c>
      <c r="X671" s="3">
        <f>W671</f>
        <v>0.53493522016825967</v>
      </c>
      <c r="Y671" s="3">
        <f>Y656 + $O$7 * X656 * X664</f>
        <v>0.20417419424910074</v>
      </c>
      <c r="Z671" s="3">
        <f>X670*Y672+X671*Y673</f>
        <v>0.36261655888123079</v>
      </c>
      <c r="AA671" s="3">
        <f>1/(1+EXP(-Z671))</f>
        <v>0.58967368128480169</v>
      </c>
      <c r="AB671" s="3">
        <f>AA671</f>
        <v>0.58967368128480169</v>
      </c>
      <c r="AC671" s="3">
        <f>AC656 +  $P$19 * AB656 * AB665</f>
        <v>0.20840889733712384</v>
      </c>
      <c r="AD671" s="3"/>
      <c r="AE671" s="3"/>
    </row>
    <row r="672" spans="1:31" x14ac:dyDescent="0.3">
      <c r="B672" s="3">
        <f>$B$6</f>
        <v>0.1</v>
      </c>
      <c r="C672" s="3">
        <f>C657 + $O$7 * B655 * B665</f>
        <v>0.29992239812859811</v>
      </c>
      <c r="D672" s="3"/>
      <c r="E672" s="3"/>
      <c r="F672" s="3"/>
      <c r="G672" s="3">
        <f>G657 + $O$7 * F655 * F665</f>
        <v>0.29442233062530787</v>
      </c>
      <c r="H672" s="3"/>
      <c r="I672" s="3"/>
      <c r="J672" s="3"/>
      <c r="K672" s="3"/>
      <c r="L672" s="3"/>
      <c r="M672" s="3"/>
      <c r="T672" s="3">
        <f t="shared" si="134"/>
        <v>0.2</v>
      </c>
      <c r="U672" s="3">
        <f>U657 + $O$7 * T655 * T665</f>
        <v>0.29992237104150726</v>
      </c>
      <c r="V672" s="3"/>
      <c r="W672" s="3"/>
      <c r="X672" s="3"/>
      <c r="Y672" s="3">
        <f>Y657 + $O$7 * X655 * X665</f>
        <v>0.29448171322348099</v>
      </c>
      <c r="Z672" s="3"/>
      <c r="AA672" s="3"/>
      <c r="AB672" s="3"/>
      <c r="AC672" s="3"/>
      <c r="AD672" s="3"/>
      <c r="AE672" s="3"/>
    </row>
    <row r="673" spans="2:31" x14ac:dyDescent="0.3">
      <c r="B673" s="3">
        <f>$B$7</f>
        <v>0.1</v>
      </c>
      <c r="C673" s="3">
        <f>C658 + $O$7 * B656* B665</f>
        <v>0.39992239812859814</v>
      </c>
      <c r="D673" s="3"/>
      <c r="E673" s="3"/>
      <c r="F673" s="3"/>
      <c r="G673" s="3">
        <f>G658 + $O$7 * F656* F665</f>
        <v>0.3943071217494527</v>
      </c>
      <c r="H673" s="3"/>
      <c r="I673" s="3"/>
      <c r="J673" s="3"/>
      <c r="K673" s="3"/>
      <c r="L673" s="3"/>
      <c r="M673" s="3"/>
      <c r="T673" s="3">
        <f t="shared" si="134"/>
        <v>0.2</v>
      </c>
      <c r="U673" s="3">
        <f>U658 + $O$7 * T656* T665</f>
        <v>0.3999223710415073</v>
      </c>
      <c r="V673" s="3"/>
      <c r="W673" s="3"/>
      <c r="X673" s="3"/>
      <c r="Y673" s="3">
        <f>Y658 + $O$7 * X656* X665</f>
        <v>0.39436880434174593</v>
      </c>
      <c r="Z673" s="3"/>
      <c r="AA673" s="3"/>
      <c r="AB673" s="3"/>
      <c r="AC673" s="3"/>
      <c r="AD673" s="3"/>
      <c r="AE673" s="3"/>
    </row>
    <row r="674" spans="2:31" x14ac:dyDescent="0.3">
      <c r="B674" s="3">
        <f>$B$8</f>
        <v>0.1</v>
      </c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T674" s="3">
        <f t="shared" si="134"/>
        <v>0.2</v>
      </c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 spans="2:31" x14ac:dyDescent="0.3">
      <c r="B675" s="3">
        <f>$B$9</f>
        <v>0.1</v>
      </c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T675" s="3">
        <f t="shared" si="134"/>
        <v>0.2</v>
      </c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 spans="2:31" x14ac:dyDescent="0.3">
      <c r="B676" s="3">
        <f>$B$10</f>
        <v>0.1</v>
      </c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T676" s="3">
        <f t="shared" si="134"/>
        <v>0.2</v>
      </c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 spans="2:31" x14ac:dyDescent="0.3">
      <c r="B677" s="3">
        <f>$B$11</f>
        <v>0.1</v>
      </c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T677" s="3">
        <f>$B$11</f>
        <v>0.1</v>
      </c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83" spans="2:31" x14ac:dyDescent="0.3">
      <c r="B683" s="8" t="s">
        <v>4</v>
      </c>
      <c r="C683" s="8"/>
      <c r="D683" s="8"/>
      <c r="E683" s="8"/>
      <c r="F683" s="8" t="s">
        <v>5</v>
      </c>
      <c r="G683" s="8"/>
      <c r="H683" s="8"/>
      <c r="I683" s="8"/>
      <c r="J683" s="8" t="s">
        <v>6</v>
      </c>
      <c r="K683" s="8"/>
      <c r="L683" s="8"/>
      <c r="M683" s="8"/>
      <c r="T683" s="9" t="s">
        <v>4</v>
      </c>
      <c r="U683" s="10"/>
      <c r="V683" s="10"/>
      <c r="W683" s="11"/>
      <c r="X683" s="9" t="s">
        <v>5</v>
      </c>
      <c r="Y683" s="10"/>
      <c r="Z683" s="10"/>
      <c r="AA683" s="11"/>
      <c r="AB683" s="9" t="s">
        <v>6</v>
      </c>
      <c r="AC683" s="10"/>
      <c r="AD683" s="10"/>
      <c r="AE683" s="11"/>
    </row>
    <row r="684" spans="2:31" x14ac:dyDescent="0.3"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T684" s="12"/>
      <c r="U684" s="13"/>
      <c r="V684" s="13"/>
      <c r="W684" s="14"/>
      <c r="X684" s="12"/>
      <c r="Y684" s="13"/>
      <c r="Z684" s="13"/>
      <c r="AA684" s="14"/>
      <c r="AB684" s="12"/>
      <c r="AC684" s="13"/>
      <c r="AD684" s="13"/>
      <c r="AE684" s="14"/>
    </row>
    <row r="685" spans="2:31" x14ac:dyDescent="0.3">
      <c r="B685" s="3" t="s">
        <v>0</v>
      </c>
      <c r="C685" s="3" t="s">
        <v>1</v>
      </c>
      <c r="D685" s="3" t="s">
        <v>2</v>
      </c>
      <c r="E685" s="3" t="s">
        <v>3</v>
      </c>
      <c r="F685" s="3" t="s">
        <v>0</v>
      </c>
      <c r="G685" s="3" t="s">
        <v>1</v>
      </c>
      <c r="H685" s="3" t="s">
        <v>2</v>
      </c>
      <c r="I685" s="3" t="s">
        <v>3</v>
      </c>
      <c r="J685" s="3" t="s">
        <v>0</v>
      </c>
      <c r="K685" s="3" t="s">
        <v>1</v>
      </c>
      <c r="L685" s="3" t="s">
        <v>2</v>
      </c>
      <c r="M685" s="3" t="s">
        <v>3</v>
      </c>
      <c r="T685" s="3" t="s">
        <v>0</v>
      </c>
      <c r="U685" s="3" t="s">
        <v>1</v>
      </c>
      <c r="V685" s="3" t="s">
        <v>2</v>
      </c>
      <c r="W685" s="3" t="s">
        <v>3</v>
      </c>
      <c r="X685" s="3" t="s">
        <v>0</v>
      </c>
      <c r="Y685" s="3" t="s">
        <v>1</v>
      </c>
      <c r="Z685" s="3" t="s">
        <v>2</v>
      </c>
      <c r="AA685" s="3" t="s">
        <v>3</v>
      </c>
      <c r="AB685" s="3" t="s">
        <v>0</v>
      </c>
      <c r="AC685" s="3" t="s">
        <v>1</v>
      </c>
      <c r="AD685" s="3" t="s">
        <v>2</v>
      </c>
      <c r="AE685" s="3" t="s">
        <v>3</v>
      </c>
    </row>
    <row r="686" spans="2:31" x14ac:dyDescent="0.3">
      <c r="B686" s="3">
        <f>$B$4</f>
        <v>0.1</v>
      </c>
      <c r="C686" s="3">
        <f>U670</f>
        <v>9.9933317368616173E-2</v>
      </c>
      <c r="D686" s="3">
        <f>B686*C686+B687*C687</f>
        <v>2.9986663473723231E-2</v>
      </c>
      <c r="E686" s="3">
        <f>1/(1+EXP(-D686))</f>
        <v>0.50749610416878499</v>
      </c>
      <c r="F686" s="3">
        <f>E686</f>
        <v>0.50749610416878499</v>
      </c>
      <c r="G686" s="3">
        <f>Y670</f>
        <v>0.10410565518460597</v>
      </c>
      <c r="H686" s="3">
        <f>F686*G686+F687*G687</f>
        <v>0.15849111015011844</v>
      </c>
      <c r="I686" s="3">
        <f>1/(1+EXP(-H686))</f>
        <v>0.53954004354890739</v>
      </c>
      <c r="J686" s="3">
        <f>I686</f>
        <v>0.53954004354890739</v>
      </c>
      <c r="K686" s="3">
        <f>AC670</f>
        <v>-0.39041528104520368</v>
      </c>
      <c r="L686" s="3">
        <f>J686*K686+J687*K687</f>
        <v>-8.8210016803209404E-2</v>
      </c>
      <c r="M686" s="3">
        <f>1/(1+EXP(-L686))</f>
        <v>0.47796178390596256</v>
      </c>
      <c r="T686" s="3">
        <f>$O$19</f>
        <v>0.2</v>
      </c>
      <c r="U686" s="3">
        <f>C701</f>
        <v>9.993238671618429E-2</v>
      </c>
      <c r="V686" s="3">
        <f>T686*U686+T687*U687</f>
        <v>5.9972954686473706E-2</v>
      </c>
      <c r="W686" s="3">
        <f>1/(1+EXP(-V686))</f>
        <v>0.5149887463698356</v>
      </c>
      <c r="X686" s="3">
        <f>W686</f>
        <v>0.5149887463698356</v>
      </c>
      <c r="Y686" s="3">
        <f>G701</f>
        <v>0.10448941265193723</v>
      </c>
      <c r="Z686" s="3">
        <f>X686*Y686+X687*Y687</f>
        <v>0.16324016629511195</v>
      </c>
      <c r="AA686" s="3">
        <f>1/(1+EXP(-Z686))</f>
        <v>0.54071965911657527</v>
      </c>
      <c r="AB686" s="3">
        <f>AA686</f>
        <v>0.54071965911657527</v>
      </c>
      <c r="AC686" s="3">
        <f>K701</f>
        <v>-0.40724068275871311</v>
      </c>
      <c r="AD686" s="3">
        <f>AB686*AC686+AB687*AC687</f>
        <v>-9.7320489236510169E-2</v>
      </c>
      <c r="AE686" s="3">
        <f>1/(1+EXP(-AD686))</f>
        <v>0.47568906263240701</v>
      </c>
    </row>
    <row r="687" spans="2:31" x14ac:dyDescent="0.3">
      <c r="B687" s="3">
        <f>$B$5</f>
        <v>0.1</v>
      </c>
      <c r="C687" s="3">
        <f>U671</f>
        <v>0.19993331736861611</v>
      </c>
      <c r="D687" s="3">
        <f>B686*C688+B687*C689</f>
        <v>6.998447420830145E-2</v>
      </c>
      <c r="E687" s="3">
        <f>1/(1+EXP(-D687))</f>
        <v>0.51748898096830565</v>
      </c>
      <c r="F687" s="3">
        <f>E687</f>
        <v>0.51748898096830565</v>
      </c>
      <c r="G687" s="3">
        <f t="shared" ref="G687:G689" si="135">Y671</f>
        <v>0.20417419424910074</v>
      </c>
      <c r="H687" s="3">
        <f>F686*G688+F687*G689</f>
        <v>0.35352983289436518</v>
      </c>
      <c r="I687" s="3">
        <f>1/(1+EXP(-H687))</f>
        <v>0.58747329168018902</v>
      </c>
      <c r="J687" s="3">
        <f>I687</f>
        <v>0.58747329168018902</v>
      </c>
      <c r="K687" s="3">
        <f>AC671</f>
        <v>0.20840889733712384</v>
      </c>
      <c r="L687" s="3"/>
      <c r="M687" s="3"/>
      <c r="T687" s="3">
        <f t="shared" ref="T687:T693" si="136">$O$19</f>
        <v>0.2</v>
      </c>
      <c r="U687" s="3">
        <f t="shared" ref="U687:U689" si="137">C702</f>
        <v>0.19993238671618421</v>
      </c>
      <c r="V687" s="3">
        <f>T686*U688+T687*U689</f>
        <v>0.13996893945793451</v>
      </c>
      <c r="W687" s="3">
        <f>1/(1+EXP(-V687))</f>
        <v>0.53493521793952636</v>
      </c>
      <c r="X687" s="3">
        <f>W687</f>
        <v>0.53493521793952636</v>
      </c>
      <c r="Y687" s="3">
        <f t="shared" ref="Y687:Y689" si="138">G702</f>
        <v>0.20456550811156574</v>
      </c>
      <c r="Z687" s="3">
        <f>X686*Y688+X687*Y689</f>
        <v>0.3624046144723263</v>
      </c>
      <c r="AA687" s="3">
        <f>1/(1+EXP(-Z687))</f>
        <v>0.58962239853131981</v>
      </c>
      <c r="AB687" s="3">
        <f>AA687</f>
        <v>0.58962239853131981</v>
      </c>
      <c r="AC687" s="3">
        <f>K702</f>
        <v>0.20840889733712384</v>
      </c>
      <c r="AD687" s="3"/>
      <c r="AE687" s="3"/>
    </row>
    <row r="688" spans="2:31" x14ac:dyDescent="0.3">
      <c r="B688" s="3">
        <f>$B$6</f>
        <v>0.1</v>
      </c>
      <c r="C688" s="3">
        <f t="shared" ref="C688:C689" si="139">U672</f>
        <v>0.29992237104150726</v>
      </c>
      <c r="D688" s="3"/>
      <c r="E688" s="3"/>
      <c r="F688" s="3"/>
      <c r="G688" s="3">
        <f t="shared" si="135"/>
        <v>0.29448171322348099</v>
      </c>
      <c r="H688" s="3"/>
      <c r="I688" s="3"/>
      <c r="J688" s="3"/>
      <c r="K688" s="3"/>
      <c r="L688" s="3"/>
      <c r="M688" s="3"/>
      <c r="T688" s="3">
        <f t="shared" si="136"/>
        <v>0.2</v>
      </c>
      <c r="U688" s="3">
        <f t="shared" si="137"/>
        <v>0.29992234864483625</v>
      </c>
      <c r="V688" s="3"/>
      <c r="W688" s="3"/>
      <c r="X688" s="3"/>
      <c r="Y688" s="3">
        <f t="shared" si="138"/>
        <v>0.29428187850869642</v>
      </c>
      <c r="Z688" s="3"/>
      <c r="AA688" s="3"/>
      <c r="AB688" s="3"/>
      <c r="AC688" s="3"/>
      <c r="AD688" s="3"/>
      <c r="AE688" s="3"/>
    </row>
    <row r="689" spans="1:31" x14ac:dyDescent="0.3">
      <c r="B689" s="3">
        <f>$B$7</f>
        <v>0.1</v>
      </c>
      <c r="C689" s="3">
        <f t="shared" si="139"/>
        <v>0.3999223710415073</v>
      </c>
      <c r="D689" s="3"/>
      <c r="E689" s="3"/>
      <c r="F689" s="3"/>
      <c r="G689" s="3">
        <f t="shared" si="135"/>
        <v>0.39436880434174593</v>
      </c>
      <c r="H689" s="3"/>
      <c r="I689" s="3"/>
      <c r="J689" s="3"/>
      <c r="K689" s="3"/>
      <c r="L689" s="3"/>
      <c r="M689" s="3"/>
      <c r="T689" s="3">
        <f t="shared" si="136"/>
        <v>0.2</v>
      </c>
      <c r="U689" s="3">
        <f t="shared" si="137"/>
        <v>0.39992234864483628</v>
      </c>
      <c r="V689" s="3"/>
      <c r="W689" s="3"/>
      <c r="X689" s="3"/>
      <c r="Y689" s="3">
        <f t="shared" si="138"/>
        <v>0.39416503477176013</v>
      </c>
      <c r="Z689" s="3"/>
      <c r="AA689" s="3"/>
      <c r="AB689" s="3"/>
      <c r="AC689" s="3"/>
      <c r="AD689" s="3"/>
      <c r="AE689" s="3"/>
    </row>
    <row r="690" spans="1:31" x14ac:dyDescent="0.3">
      <c r="B690" s="3">
        <f>$B$8</f>
        <v>0.1</v>
      </c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T690" s="3">
        <f t="shared" si="136"/>
        <v>0.2</v>
      </c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 spans="1:31" x14ac:dyDescent="0.3">
      <c r="B691" s="3">
        <f>$B$9</f>
        <v>0.1</v>
      </c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T691" s="3">
        <f t="shared" si="136"/>
        <v>0.2</v>
      </c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 spans="1:31" x14ac:dyDescent="0.3">
      <c r="B692" s="3">
        <f>$B$10</f>
        <v>0.1</v>
      </c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T692" s="3">
        <f t="shared" si="136"/>
        <v>0.2</v>
      </c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 spans="1:31" x14ac:dyDescent="0.3">
      <c r="B693" s="3">
        <f>$B$11</f>
        <v>0.1</v>
      </c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T693" s="3">
        <f t="shared" si="136"/>
        <v>0.2</v>
      </c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5" spans="1:31" x14ac:dyDescent="0.3">
      <c r="A695" s="4" t="s">
        <v>7</v>
      </c>
      <c r="B695" s="5">
        <f>E686 * (1 - E686) * (G686 * F695 + G688 * F696)</f>
        <v>-9.306524318844035E-5</v>
      </c>
      <c r="C695" s="6"/>
      <c r="D695" s="6"/>
      <c r="E695" s="7"/>
      <c r="F695" s="5">
        <f>I686 * (1 - I686) * K686 *J695</f>
        <v>7.5617815423390591E-3</v>
      </c>
      <c r="G695" s="6"/>
      <c r="H695" s="6"/>
      <c r="I695" s="7"/>
      <c r="J695" s="5">
        <f>$P$18 - M686</f>
        <v>-7.7961783905962534E-2</v>
      </c>
      <c r="K695" s="6"/>
      <c r="L695" s="6"/>
      <c r="M695" s="7"/>
      <c r="S695" s="4" t="s">
        <v>7</v>
      </c>
      <c r="T695" s="5">
        <f>W686 * (1 - W686) * (Y686 * X695 + Y688 * X696)</f>
        <v>2.5944332182985733E-5</v>
      </c>
      <c r="U695" s="6"/>
      <c r="V695" s="6"/>
      <c r="W695" s="7"/>
      <c r="X695" s="5">
        <f>AA686 * (1 - AA686) * AC686 *AB695</f>
        <v>-2.4586849179325794E-3</v>
      </c>
      <c r="Y695" s="6"/>
      <c r="Z695" s="6"/>
      <c r="AA695" s="7"/>
      <c r="AB695" s="5">
        <f>$P$19 - AE686</f>
        <v>2.4310937367592989E-2</v>
      </c>
      <c r="AC695" s="6"/>
      <c r="AD695" s="6"/>
      <c r="AE695" s="7"/>
    </row>
    <row r="696" spans="1:31" x14ac:dyDescent="0.3">
      <c r="B696" s="5">
        <f>E687 * (1 - E687) * (G687 * F695 + G689 * F696)</f>
        <v>-2.2396670990402041E-6</v>
      </c>
      <c r="C696" s="6"/>
      <c r="D696" s="6"/>
      <c r="E696" s="7"/>
      <c r="F696" s="5">
        <f>J687 * (1 - J687) * K687 * J695</f>
        <v>-3.9376600754769614E-3</v>
      </c>
      <c r="G696" s="6"/>
      <c r="H696" s="6"/>
      <c r="I696" s="7"/>
      <c r="T696" s="5">
        <f>W687 * (1 - W687) * (Y687 * X695 + Y689 * X696)</f>
        <v>-4.9090079302082216E-6</v>
      </c>
      <c r="U696" s="6"/>
      <c r="V696" s="6"/>
      <c r="W696" s="7"/>
      <c r="X696" s="5">
        <f>AB687 * (1 - AB687) * AC687 * AB695</f>
        <v>1.2259579723972135E-3</v>
      </c>
      <c r="Y696" s="6"/>
      <c r="Z696" s="6"/>
      <c r="AA696" s="7"/>
    </row>
    <row r="698" spans="1:31" x14ac:dyDescent="0.3">
      <c r="B698" s="8" t="s">
        <v>4</v>
      </c>
      <c r="C698" s="8"/>
      <c r="D698" s="8"/>
      <c r="E698" s="8"/>
      <c r="F698" s="8" t="s">
        <v>5</v>
      </c>
      <c r="G698" s="8"/>
      <c r="H698" s="8"/>
      <c r="I698" s="8"/>
      <c r="J698" s="8" t="s">
        <v>6</v>
      </c>
      <c r="K698" s="8"/>
      <c r="L698" s="8"/>
      <c r="M698" s="8"/>
      <c r="T698" s="9" t="s">
        <v>4</v>
      </c>
      <c r="U698" s="10"/>
      <c r="V698" s="10"/>
      <c r="W698" s="11"/>
      <c r="X698" s="9" t="s">
        <v>5</v>
      </c>
      <c r="Y698" s="10"/>
      <c r="Z698" s="10"/>
      <c r="AA698" s="11"/>
      <c r="AB698" s="9" t="s">
        <v>6</v>
      </c>
      <c r="AC698" s="10"/>
      <c r="AD698" s="10"/>
      <c r="AE698" s="11"/>
    </row>
    <row r="699" spans="1:31" x14ac:dyDescent="0.3"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T699" s="12"/>
      <c r="U699" s="13"/>
      <c r="V699" s="13"/>
      <c r="W699" s="14"/>
      <c r="X699" s="12"/>
      <c r="Y699" s="13"/>
      <c r="Z699" s="13"/>
      <c r="AA699" s="14"/>
      <c r="AB699" s="12"/>
      <c r="AC699" s="13"/>
      <c r="AD699" s="13"/>
      <c r="AE699" s="14"/>
    </row>
    <row r="700" spans="1:31" x14ac:dyDescent="0.3">
      <c r="B700" s="3" t="s">
        <v>0</v>
      </c>
      <c r="C700" s="3" t="s">
        <v>1</v>
      </c>
      <c r="D700" s="3" t="s">
        <v>2</v>
      </c>
      <c r="E700" s="3" t="s">
        <v>3</v>
      </c>
      <c r="F700" s="3" t="s">
        <v>0</v>
      </c>
      <c r="G700" s="3" t="s">
        <v>1</v>
      </c>
      <c r="H700" s="3" t="s">
        <v>2</v>
      </c>
      <c r="I700" s="3" t="s">
        <v>3</v>
      </c>
      <c r="J700" s="3" t="s">
        <v>0</v>
      </c>
      <c r="K700" s="3" t="s">
        <v>1</v>
      </c>
      <c r="L700" s="3" t="s">
        <v>2</v>
      </c>
      <c r="M700" s="3" t="s">
        <v>3</v>
      </c>
      <c r="T700" s="3">
        <f>$O$19</f>
        <v>0.2</v>
      </c>
      <c r="U700" s="3" t="s">
        <v>1</v>
      </c>
      <c r="V700" s="3" t="s">
        <v>2</v>
      </c>
      <c r="W700" s="3" t="s">
        <v>3</v>
      </c>
      <c r="X700" s="3" t="s">
        <v>0</v>
      </c>
      <c r="Y700" s="3" t="s">
        <v>1</v>
      </c>
      <c r="Z700" s="3" t="s">
        <v>2</v>
      </c>
      <c r="AA700" s="3" t="s">
        <v>3</v>
      </c>
      <c r="AB700" s="3" t="s">
        <v>0</v>
      </c>
      <c r="AC700" s="3" t="s">
        <v>1</v>
      </c>
      <c r="AD700" s="3" t="s">
        <v>2</v>
      </c>
      <c r="AE700" s="3" t="s">
        <v>3</v>
      </c>
    </row>
    <row r="701" spans="1:31" x14ac:dyDescent="0.3">
      <c r="B701" s="3">
        <f>$B$4</f>
        <v>0.1</v>
      </c>
      <c r="C701" s="3">
        <f>C686 + $O$7 * B686 * B695</f>
        <v>9.993238671618429E-2</v>
      </c>
      <c r="D701" s="3">
        <f>B701*C701+B702*C702</f>
        <v>2.9986477343236853E-2</v>
      </c>
      <c r="E701" s="3">
        <f>1/(1+EXP(-D701))</f>
        <v>0.50749605764662231</v>
      </c>
      <c r="F701" s="3">
        <f>E701</f>
        <v>0.50749605764662231</v>
      </c>
      <c r="G701" s="3">
        <f>G686 + $O$7 * F686 * F695</f>
        <v>0.10448941265193723</v>
      </c>
      <c r="H701" s="3">
        <f>F701*G701+F702*G702</f>
        <v>0.158888361091788</v>
      </c>
      <c r="I701" s="3">
        <f>1/(1+EXP(-H701))</f>
        <v>0.53963873366477144</v>
      </c>
      <c r="J701" s="3">
        <f>I701</f>
        <v>0.53963873366477144</v>
      </c>
      <c r="K701" s="3">
        <f>K686 + $P$18 * J686 * J695</f>
        <v>-0.40724068275871311</v>
      </c>
      <c r="L701" s="3">
        <f>J701*K701+J702*K702</f>
        <v>-9.7338634499125956E-2</v>
      </c>
      <c r="M701" s="3">
        <f>1/(1+EXP(-L701))</f>
        <v>0.47568453704299302</v>
      </c>
      <c r="T701" s="3">
        <f t="shared" ref="T701:T707" si="140">$O$19</f>
        <v>0.2</v>
      </c>
      <c r="U701" s="3">
        <f>U686 + $O$7 * T686 * T695</f>
        <v>9.9932905602827957E-2</v>
      </c>
      <c r="V701" s="3">
        <f>T701*U701+T702*U702</f>
        <v>5.9973162241131167E-2</v>
      </c>
      <c r="W701" s="3">
        <f>1/(1+EXP(-V701))</f>
        <v>0.51498879821187005</v>
      </c>
      <c r="X701" s="3">
        <f>W701</f>
        <v>0.51498879821187005</v>
      </c>
      <c r="Y701" s="3">
        <f>Y686 + $O$7 * X686 * X695</f>
        <v>0.10436279314557678</v>
      </c>
      <c r="Z701" s="3">
        <f>X701*Y701+X702*Y702</f>
        <v>0.1631046054200303</v>
      </c>
      <c r="AA701" s="3">
        <f>1/(1+EXP(-Z701))</f>
        <v>0.54068599348424029</v>
      </c>
      <c r="AB701" s="3">
        <f>AA701</f>
        <v>0.54068599348424029</v>
      </c>
      <c r="AC701" s="3">
        <f>AC686 +  $P$19 * AB686 * AB695</f>
        <v>-0.40066798187560848</v>
      </c>
      <c r="AD701" s="3">
        <f>AB701*AC701+AB702*AC702</f>
        <v>-9.374960263560933E-2</v>
      </c>
      <c r="AE701" s="3">
        <f>1/(1+EXP(-AD701))</f>
        <v>0.47657975018681509</v>
      </c>
    </row>
    <row r="702" spans="1:31" x14ac:dyDescent="0.3">
      <c r="B702" s="3">
        <f>$B$5</f>
        <v>0.1</v>
      </c>
      <c r="C702" s="3">
        <f>C687 + $O$7 * B687 * B695</f>
        <v>0.19993238671618421</v>
      </c>
      <c r="D702" s="3">
        <f>B701*C703+B702*C704</f>
        <v>6.9984469728967255E-2</v>
      </c>
      <c r="E702" s="3">
        <f>1/(1+EXP(-D702))</f>
        <v>0.51748897984984221</v>
      </c>
      <c r="F702" s="3">
        <f>E702</f>
        <v>0.51748897984984221</v>
      </c>
      <c r="G702" s="3">
        <f>G687 + $O$7 * F687 * F695</f>
        <v>0.20456550811156574</v>
      </c>
      <c r="H702" s="3">
        <f>F701*G703+F702*G704</f>
        <v>0.35332295491652144</v>
      </c>
      <c r="I702" s="3">
        <f>1/(1+EXP(-H702))</f>
        <v>0.5874231542213314</v>
      </c>
      <c r="J702" s="3">
        <f>I702</f>
        <v>0.5874231542213314</v>
      </c>
      <c r="K702" s="3">
        <f>K687 + $P$18 * J687 * J696</f>
        <v>0.20840889733712384</v>
      </c>
      <c r="L702" s="3"/>
      <c r="M702" s="3"/>
      <c r="T702" s="3">
        <f t="shared" si="140"/>
        <v>0.2</v>
      </c>
      <c r="U702" s="3">
        <f>U687 + $O$7 * T687 * T695</f>
        <v>0.19993290560282787</v>
      </c>
      <c r="V702" s="3">
        <f>T701*U703+T702*U704</f>
        <v>0.13996890018587105</v>
      </c>
      <c r="W702" s="3">
        <f>1/(1+EXP(-V702))</f>
        <v>0.53493520816944085</v>
      </c>
      <c r="X702" s="3">
        <f>W702</f>
        <v>0.53493520816944085</v>
      </c>
      <c r="Y702" s="3">
        <f>Y687 + $O$7 * X687 * X695</f>
        <v>0.20443398439632385</v>
      </c>
      <c r="Z702" s="3">
        <f>X701*Y703+X702*Y704</f>
        <v>0.36247222141403557</v>
      </c>
      <c r="AA702" s="3">
        <f>1/(1+EXP(-Z702))</f>
        <v>0.58963875713688152</v>
      </c>
      <c r="AB702" s="3">
        <f>AA702</f>
        <v>0.58963875713688152</v>
      </c>
      <c r="AC702" s="3">
        <f>AC687 +  $P$19 * AB687 * AB696</f>
        <v>0.20840889733712384</v>
      </c>
      <c r="AD702" s="3"/>
      <c r="AE702" s="3"/>
    </row>
    <row r="703" spans="1:31" x14ac:dyDescent="0.3">
      <c r="B703" s="3">
        <f>$B$6</f>
        <v>0.1</v>
      </c>
      <c r="C703" s="3">
        <f>C688 + $O$7 * B686 * B696</f>
        <v>0.29992234864483625</v>
      </c>
      <c r="D703" s="3"/>
      <c r="E703" s="3"/>
      <c r="F703" s="3"/>
      <c r="G703" s="3">
        <f>G688 + $O$7 * F686 * F696</f>
        <v>0.29428187850869642</v>
      </c>
      <c r="H703" s="3"/>
      <c r="I703" s="3"/>
      <c r="J703" s="3"/>
      <c r="K703" s="3"/>
      <c r="L703" s="3"/>
      <c r="M703" s="3"/>
      <c r="T703" s="3">
        <f t="shared" si="140"/>
        <v>0.2</v>
      </c>
      <c r="U703" s="3">
        <f>U688 + $O$7 * T686 * T696</f>
        <v>0.29992225046467763</v>
      </c>
      <c r="V703" s="3"/>
      <c r="W703" s="3"/>
      <c r="X703" s="3"/>
      <c r="Y703" s="3">
        <f>Y688 + $O$7 * X686 * X696</f>
        <v>0.29434501396462709</v>
      </c>
      <c r="Z703" s="3"/>
      <c r="AA703" s="3"/>
      <c r="AB703" s="3"/>
      <c r="AC703" s="3"/>
      <c r="AD703" s="3"/>
      <c r="AE703" s="3"/>
    </row>
    <row r="704" spans="1:31" x14ac:dyDescent="0.3">
      <c r="B704" s="3">
        <f>$B$7</f>
        <v>0.1</v>
      </c>
      <c r="C704" s="3">
        <f>C689 + $O$7 * B687* B696</f>
        <v>0.39992234864483628</v>
      </c>
      <c r="D704" s="3"/>
      <c r="E704" s="3"/>
      <c r="F704" s="3"/>
      <c r="G704" s="3">
        <f>G689 + $O$7 * F687* F696</f>
        <v>0.39416503477176013</v>
      </c>
      <c r="H704" s="3"/>
      <c r="I704" s="3"/>
      <c r="J704" s="3"/>
      <c r="K704" s="3"/>
      <c r="L704" s="3"/>
      <c r="M704" s="3"/>
      <c r="T704" s="3">
        <f t="shared" si="140"/>
        <v>0.2</v>
      </c>
      <c r="U704" s="3">
        <f>U689 + $O$7 * T687* T696</f>
        <v>0.39992225046467766</v>
      </c>
      <c r="V704" s="3"/>
      <c r="W704" s="3"/>
      <c r="X704" s="3"/>
      <c r="Y704" s="3">
        <f>Y689 + $O$7 * X687* X696</f>
        <v>0.39423061558127503</v>
      </c>
      <c r="Z704" s="3"/>
      <c r="AA704" s="3"/>
      <c r="AB704" s="3"/>
      <c r="AC704" s="3"/>
      <c r="AD704" s="3"/>
      <c r="AE704" s="3"/>
    </row>
    <row r="705" spans="2:31" x14ac:dyDescent="0.3">
      <c r="B705" s="3">
        <f>$B$8</f>
        <v>0.1</v>
      </c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T705" s="3">
        <f t="shared" si="140"/>
        <v>0.2</v>
      </c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 spans="2:31" x14ac:dyDescent="0.3">
      <c r="B706" s="3">
        <f>$B$9</f>
        <v>0.1</v>
      </c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T706" s="3">
        <f t="shared" si="140"/>
        <v>0.2</v>
      </c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 spans="2:31" x14ac:dyDescent="0.3">
      <c r="B707" s="3">
        <f>$B$10</f>
        <v>0.1</v>
      </c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T707" s="3">
        <f t="shared" si="140"/>
        <v>0.2</v>
      </c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 spans="2:31" x14ac:dyDescent="0.3">
      <c r="B708" s="3">
        <f>$B$11</f>
        <v>0.1</v>
      </c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T708" s="3">
        <f>$B$11</f>
        <v>0.1</v>
      </c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14" spans="2:31" x14ac:dyDescent="0.3">
      <c r="B714" s="8" t="s">
        <v>4</v>
      </c>
      <c r="C714" s="8"/>
      <c r="D714" s="8"/>
      <c r="E714" s="8"/>
      <c r="F714" s="8" t="s">
        <v>5</v>
      </c>
      <c r="G714" s="8"/>
      <c r="H714" s="8"/>
      <c r="I714" s="8"/>
      <c r="J714" s="8" t="s">
        <v>6</v>
      </c>
      <c r="K714" s="8"/>
      <c r="L714" s="8"/>
      <c r="M714" s="8"/>
      <c r="T714" s="9" t="s">
        <v>4</v>
      </c>
      <c r="U714" s="10"/>
      <c r="V714" s="10"/>
      <c r="W714" s="11"/>
      <c r="X714" s="9" t="s">
        <v>5</v>
      </c>
      <c r="Y714" s="10"/>
      <c r="Z714" s="10"/>
      <c r="AA714" s="11"/>
      <c r="AB714" s="9" t="s">
        <v>6</v>
      </c>
      <c r="AC714" s="10"/>
      <c r="AD714" s="10"/>
      <c r="AE714" s="11"/>
    </row>
    <row r="715" spans="2:31" x14ac:dyDescent="0.3"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T715" s="12"/>
      <c r="U715" s="13"/>
      <c r="V715" s="13"/>
      <c r="W715" s="14"/>
      <c r="X715" s="12"/>
      <c r="Y715" s="13"/>
      <c r="Z715" s="13"/>
      <c r="AA715" s="14"/>
      <c r="AB715" s="12"/>
      <c r="AC715" s="13"/>
      <c r="AD715" s="13"/>
      <c r="AE715" s="14"/>
    </row>
    <row r="716" spans="2:31" x14ac:dyDescent="0.3">
      <c r="B716" s="3" t="s">
        <v>0</v>
      </c>
      <c r="C716" s="3" t="s">
        <v>1</v>
      </c>
      <c r="D716" s="3" t="s">
        <v>2</v>
      </c>
      <c r="E716" s="3" t="s">
        <v>3</v>
      </c>
      <c r="F716" s="3" t="s">
        <v>0</v>
      </c>
      <c r="G716" s="3" t="s">
        <v>1</v>
      </c>
      <c r="H716" s="3" t="s">
        <v>2</v>
      </c>
      <c r="I716" s="3" t="s">
        <v>3</v>
      </c>
      <c r="J716" s="3" t="s">
        <v>0</v>
      </c>
      <c r="K716" s="3" t="s">
        <v>1</v>
      </c>
      <c r="L716" s="3" t="s">
        <v>2</v>
      </c>
      <c r="M716" s="3" t="s">
        <v>3</v>
      </c>
      <c r="T716" s="3" t="s">
        <v>0</v>
      </c>
      <c r="U716" s="3" t="s">
        <v>1</v>
      </c>
      <c r="V716" s="3" t="s">
        <v>2</v>
      </c>
      <c r="W716" s="3" t="s">
        <v>3</v>
      </c>
      <c r="X716" s="3" t="s">
        <v>0</v>
      </c>
      <c r="Y716" s="3" t="s">
        <v>1</v>
      </c>
      <c r="Z716" s="3" t="s">
        <v>2</v>
      </c>
      <c r="AA716" s="3" t="s">
        <v>3</v>
      </c>
      <c r="AB716" s="3" t="s">
        <v>0</v>
      </c>
      <c r="AC716" s="3" t="s">
        <v>1</v>
      </c>
      <c r="AD716" s="3" t="s">
        <v>2</v>
      </c>
      <c r="AE716" s="3" t="s">
        <v>3</v>
      </c>
    </row>
    <row r="717" spans="2:31" x14ac:dyDescent="0.3">
      <c r="B717" s="3">
        <f>$B$4</f>
        <v>0.1</v>
      </c>
      <c r="C717" s="3">
        <f>U701</f>
        <v>9.9932905602827957E-2</v>
      </c>
      <c r="D717" s="3">
        <f>B717*C717+B718*C718</f>
        <v>2.9986581120565584E-2</v>
      </c>
      <c r="E717" s="3">
        <f>1/(1+EXP(-D717))</f>
        <v>0.5074960835851231</v>
      </c>
      <c r="F717" s="3">
        <f>E717</f>
        <v>0.5074960835851231</v>
      </c>
      <c r="G717" s="3">
        <f>Y701</f>
        <v>0.10436279314557678</v>
      </c>
      <c r="H717" s="3">
        <f>F717*G717+F718*G718</f>
        <v>0.15875604182293648</v>
      </c>
      <c r="I717" s="3">
        <f>1/(1+EXP(-H717))</f>
        <v>0.53960586157909318</v>
      </c>
      <c r="J717" s="3">
        <f>I717</f>
        <v>0.53960586157909318</v>
      </c>
      <c r="K717" s="3">
        <f>AC701</f>
        <v>-0.40066798187560848</v>
      </c>
      <c r="L717" s="3">
        <f>J717*K717+J718*K718</f>
        <v>-9.3775246930697512E-2</v>
      </c>
      <c r="M717" s="3">
        <f>1/(1+EXP(-L717))</f>
        <v>0.47657335318298905</v>
      </c>
      <c r="T717" s="3">
        <f>$O$19</f>
        <v>0.2</v>
      </c>
      <c r="U717" s="3">
        <f>C732</f>
        <v>9.9932048384293981E-2</v>
      </c>
      <c r="V717" s="3">
        <f>T717*U717+T718*U718</f>
        <v>5.997281935371758E-2</v>
      </c>
      <c r="W717" s="3">
        <f>1/(1+EXP(-V717))</f>
        <v>0.5149887125670507</v>
      </c>
      <c r="X717" s="3">
        <f>W717</f>
        <v>0.5149887125670507</v>
      </c>
      <c r="Y717" s="3">
        <f>G732</f>
        <v>0.10474960648583857</v>
      </c>
      <c r="Z717" s="3">
        <f>X717*Y717+X718*Y718</f>
        <v>0.16351479713942985</v>
      </c>
      <c r="AA717" s="3">
        <f>1/(1+EXP(-Z717))</f>
        <v>0.54078786070170426</v>
      </c>
      <c r="AB717" s="3">
        <f>AA717</f>
        <v>0.54078786070170426</v>
      </c>
      <c r="AC717" s="3">
        <f>K732</f>
        <v>-0.41719575396293129</v>
      </c>
      <c r="AD717" s="3">
        <f>AB717*AC717+AB718*AC718</f>
        <v>-0.1027389337517963</v>
      </c>
      <c r="AE717" s="3">
        <f>1/(1+EXP(-AD717))</f>
        <v>0.47433783522145412</v>
      </c>
    </row>
    <row r="718" spans="2:31" x14ac:dyDescent="0.3">
      <c r="B718" s="3">
        <f>$B$5</f>
        <v>0.1</v>
      </c>
      <c r="C718" s="3">
        <f>U702</f>
        <v>0.19993290560282787</v>
      </c>
      <c r="D718" s="3">
        <f>B717*C719+B718*C720</f>
        <v>6.9984450092935524E-2</v>
      </c>
      <c r="E718" s="3">
        <f>1/(1+EXP(-D718))</f>
        <v>0.5174889749468401</v>
      </c>
      <c r="F718" s="3">
        <f>E718</f>
        <v>0.5174889749468401</v>
      </c>
      <c r="G718" s="3">
        <f t="shared" ref="G718:G720" si="141">Y702</f>
        <v>0.20443398439632385</v>
      </c>
      <c r="H718" s="3">
        <f>F717*G719+F718*G720</f>
        <v>0.35338893895967238</v>
      </c>
      <c r="I718" s="3">
        <f>1/(1+EXP(-H718))</f>
        <v>0.58743914583649925</v>
      </c>
      <c r="J718" s="3">
        <f>I718</f>
        <v>0.58743914583649925</v>
      </c>
      <c r="K718" s="3">
        <f>AC702</f>
        <v>0.20840889733712384</v>
      </c>
      <c r="L718" s="3"/>
      <c r="M718" s="3"/>
      <c r="T718" s="3">
        <f t="shared" ref="T718:T724" si="142">$O$19</f>
        <v>0.2</v>
      </c>
      <c r="U718" s="3">
        <f t="shared" ref="U718:U720" si="143">C733</f>
        <v>0.19993204838429388</v>
      </c>
      <c r="V718" s="3">
        <f>T717*U719+T718*U720</f>
        <v>0.13996893360225032</v>
      </c>
      <c r="W718" s="3">
        <f>1/(1+EXP(-V718))</f>
        <v>0.534935216482752</v>
      </c>
      <c r="X718" s="3">
        <f>W718</f>
        <v>0.534935216482752</v>
      </c>
      <c r="Y718" s="3">
        <f t="shared" ref="Y718:Y720" si="144">G733</f>
        <v>0.20482841431494264</v>
      </c>
      <c r="Z718" s="3">
        <f>X717*Y719+X718*Y720</f>
        <v>0.36226405225643321</v>
      </c>
      <c r="AA718" s="3">
        <f>1/(1+EXP(-Z718))</f>
        <v>0.5895883865691568</v>
      </c>
      <c r="AB718" s="3">
        <f>AA718</f>
        <v>0.5895883865691568</v>
      </c>
      <c r="AC718" s="3">
        <f>K733</f>
        <v>0.20840889733712384</v>
      </c>
      <c r="AD718" s="3"/>
      <c r="AE718" s="3"/>
    </row>
    <row r="719" spans="2:31" x14ac:dyDescent="0.3">
      <c r="B719" s="3">
        <f>$B$6</f>
        <v>0.1</v>
      </c>
      <c r="C719" s="3">
        <f t="shared" ref="C719:C720" si="145">U703</f>
        <v>0.29992225046467763</v>
      </c>
      <c r="D719" s="3"/>
      <c r="E719" s="3"/>
      <c r="F719" s="3"/>
      <c r="G719" s="3">
        <f t="shared" si="141"/>
        <v>0.29434501396462709</v>
      </c>
      <c r="H719" s="3"/>
      <c r="I719" s="3"/>
      <c r="J719" s="3"/>
      <c r="K719" s="3"/>
      <c r="L719" s="3"/>
      <c r="M719" s="3"/>
      <c r="T719" s="3">
        <f t="shared" si="142"/>
        <v>0.2</v>
      </c>
      <c r="U719" s="3">
        <f t="shared" si="143"/>
        <v>0.29992233400562573</v>
      </c>
      <c r="V719" s="3"/>
      <c r="W719" s="3"/>
      <c r="X719" s="3"/>
      <c r="Y719" s="3">
        <f t="shared" si="144"/>
        <v>0.29414873330101038</v>
      </c>
      <c r="Z719" s="3"/>
      <c r="AA719" s="3"/>
      <c r="AB719" s="3"/>
      <c r="AC719" s="3"/>
      <c r="AD719" s="3"/>
      <c r="AE719" s="3"/>
    </row>
    <row r="720" spans="2:31" x14ac:dyDescent="0.3">
      <c r="B720" s="3">
        <f>$B$7</f>
        <v>0.1</v>
      </c>
      <c r="C720" s="3">
        <f t="shared" si="145"/>
        <v>0.39992225046467766</v>
      </c>
      <c r="D720" s="3"/>
      <c r="E720" s="3"/>
      <c r="F720" s="3"/>
      <c r="G720" s="3">
        <f t="shared" si="141"/>
        <v>0.39423061558127503</v>
      </c>
      <c r="H720" s="3"/>
      <c r="I720" s="3"/>
      <c r="J720" s="3"/>
      <c r="K720" s="3"/>
      <c r="L720" s="3"/>
      <c r="M720" s="3"/>
      <c r="T720" s="3">
        <f t="shared" si="142"/>
        <v>0.2</v>
      </c>
      <c r="U720" s="3">
        <f t="shared" si="143"/>
        <v>0.39992233400562577</v>
      </c>
      <c r="V720" s="3"/>
      <c r="W720" s="3"/>
      <c r="X720" s="3"/>
      <c r="Y720" s="3">
        <f t="shared" si="144"/>
        <v>0.3940304700378861</v>
      </c>
      <c r="Z720" s="3"/>
      <c r="AA720" s="3"/>
      <c r="AB720" s="3"/>
      <c r="AC720" s="3"/>
      <c r="AD720" s="3"/>
      <c r="AE720" s="3"/>
    </row>
    <row r="721" spans="1:31" x14ac:dyDescent="0.3">
      <c r="B721" s="3">
        <f>$B$8</f>
        <v>0.1</v>
      </c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T721" s="3">
        <f t="shared" si="142"/>
        <v>0.2</v>
      </c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 spans="1:31" x14ac:dyDescent="0.3">
      <c r="B722" s="3">
        <f>$B$9</f>
        <v>0.1</v>
      </c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T722" s="3">
        <f t="shared" si="142"/>
        <v>0.2</v>
      </c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 spans="1:31" x14ac:dyDescent="0.3">
      <c r="B723" s="3">
        <f>$B$10</f>
        <v>0.1</v>
      </c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T723" s="3">
        <f t="shared" si="142"/>
        <v>0.2</v>
      </c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 spans="1:31" x14ac:dyDescent="0.3">
      <c r="B724" s="3">
        <f>$B$11</f>
        <v>0.1</v>
      </c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T724" s="3">
        <f t="shared" si="142"/>
        <v>0.2</v>
      </c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6" spans="1:31" x14ac:dyDescent="0.3">
      <c r="A726" s="4" t="s">
        <v>7</v>
      </c>
      <c r="B726" s="5">
        <f>E717 * (1 - E717) * (G717 * F726 + G719 * F727)</f>
        <v>-8.5721853397768578E-5</v>
      </c>
      <c r="C726" s="6"/>
      <c r="D726" s="6"/>
      <c r="E726" s="7"/>
      <c r="F726" s="5">
        <f>I717 * (1 - I717) * K717 *J726</f>
        <v>7.6219965586573086E-3</v>
      </c>
      <c r="G726" s="6"/>
      <c r="H726" s="6"/>
      <c r="I726" s="7"/>
      <c r="J726" s="5">
        <f>$P$18 - M717</f>
        <v>-7.6573353182989023E-2</v>
      </c>
      <c r="K726" s="6"/>
      <c r="L726" s="6"/>
      <c r="M726" s="7"/>
      <c r="S726" s="4" t="s">
        <v>7</v>
      </c>
      <c r="T726" s="5">
        <f>W717 * (1 - W717) * (Y717 * X726 + Y719 * X727)</f>
        <v>2.5518660014732235E-5</v>
      </c>
      <c r="U726" s="6"/>
      <c r="V726" s="6"/>
      <c r="W726" s="7"/>
      <c r="X726" s="5">
        <f>AA717 * (1 - AA717) * AC717 *AB726</f>
        <v>-2.6587252701690085E-3</v>
      </c>
      <c r="Y726" s="6"/>
      <c r="Z726" s="6"/>
      <c r="AA726" s="7"/>
      <c r="AB726" s="5">
        <f>$P$19 - AE717</f>
        <v>2.5662164778545882E-2</v>
      </c>
      <c r="AC726" s="6"/>
      <c r="AD726" s="6"/>
      <c r="AE726" s="7"/>
    </row>
    <row r="727" spans="1:31" x14ac:dyDescent="0.3">
      <c r="B727" s="5">
        <f>E718 * (1 - E718) * (G718 * F726 + G720 * F727)</f>
        <v>8.3540948127758657E-6</v>
      </c>
      <c r="C727" s="6"/>
      <c r="D727" s="6"/>
      <c r="E727" s="7"/>
      <c r="F727" s="5">
        <f>J718 * (1 - J718) * K718 * J726</f>
        <v>-3.8676291298666522E-3</v>
      </c>
      <c r="G727" s="6"/>
      <c r="H727" s="6"/>
      <c r="I727" s="7"/>
      <c r="T727" s="5">
        <f>W718 * (1 - W718) * (Y718 * X726 + Y720 * X727)</f>
        <v>-8.6216018490447183E-6</v>
      </c>
      <c r="U727" s="6"/>
      <c r="V727" s="6"/>
      <c r="W727" s="7"/>
      <c r="X727" s="5">
        <f>AB718 * (1 - AB718) * AC718 * AB726</f>
        <v>1.2941306021139686E-3</v>
      </c>
      <c r="Y727" s="6"/>
      <c r="Z727" s="6"/>
      <c r="AA727" s="7"/>
    </row>
    <row r="729" spans="1:31" x14ac:dyDescent="0.3">
      <c r="B729" s="8" t="s">
        <v>4</v>
      </c>
      <c r="C729" s="8"/>
      <c r="D729" s="8"/>
      <c r="E729" s="8"/>
      <c r="F729" s="8" t="s">
        <v>5</v>
      </c>
      <c r="G729" s="8"/>
      <c r="H729" s="8"/>
      <c r="I729" s="8"/>
      <c r="J729" s="8" t="s">
        <v>6</v>
      </c>
      <c r="K729" s="8"/>
      <c r="L729" s="8"/>
      <c r="M729" s="8"/>
      <c r="T729" s="9" t="s">
        <v>4</v>
      </c>
      <c r="U729" s="10"/>
      <c r="V729" s="10"/>
      <c r="W729" s="11"/>
      <c r="X729" s="9" t="s">
        <v>5</v>
      </c>
      <c r="Y729" s="10"/>
      <c r="Z729" s="10"/>
      <c r="AA729" s="11"/>
      <c r="AB729" s="9" t="s">
        <v>6</v>
      </c>
      <c r="AC729" s="10"/>
      <c r="AD729" s="10"/>
      <c r="AE729" s="11"/>
    </row>
    <row r="730" spans="1:31" x14ac:dyDescent="0.3"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T730" s="12"/>
      <c r="U730" s="13"/>
      <c r="V730" s="13"/>
      <c r="W730" s="14"/>
      <c r="X730" s="12"/>
      <c r="Y730" s="13"/>
      <c r="Z730" s="13"/>
      <c r="AA730" s="14"/>
      <c r="AB730" s="12"/>
      <c r="AC730" s="13"/>
      <c r="AD730" s="13"/>
      <c r="AE730" s="14"/>
    </row>
    <row r="731" spans="1:31" x14ac:dyDescent="0.3">
      <c r="B731" s="3" t="s">
        <v>0</v>
      </c>
      <c r="C731" s="3" t="s">
        <v>1</v>
      </c>
      <c r="D731" s="3" t="s">
        <v>2</v>
      </c>
      <c r="E731" s="3" t="s">
        <v>3</v>
      </c>
      <c r="F731" s="3" t="s">
        <v>0</v>
      </c>
      <c r="G731" s="3" t="s">
        <v>1</v>
      </c>
      <c r="H731" s="3" t="s">
        <v>2</v>
      </c>
      <c r="I731" s="3" t="s">
        <v>3</v>
      </c>
      <c r="J731" s="3" t="s">
        <v>0</v>
      </c>
      <c r="K731" s="3" t="s">
        <v>1</v>
      </c>
      <c r="L731" s="3" t="s">
        <v>2</v>
      </c>
      <c r="M731" s="3" t="s">
        <v>3</v>
      </c>
      <c r="T731" s="3">
        <f>$O$19</f>
        <v>0.2</v>
      </c>
      <c r="U731" s="3" t="s">
        <v>1</v>
      </c>
      <c r="V731" s="3" t="s">
        <v>2</v>
      </c>
      <c r="W731" s="3" t="s">
        <v>3</v>
      </c>
      <c r="X731" s="3" t="s">
        <v>0</v>
      </c>
      <c r="Y731" s="3" t="s">
        <v>1</v>
      </c>
      <c r="Z731" s="3" t="s">
        <v>2</v>
      </c>
      <c r="AA731" s="3" t="s">
        <v>3</v>
      </c>
      <c r="AB731" s="3" t="s">
        <v>0</v>
      </c>
      <c r="AC731" s="3" t="s">
        <v>1</v>
      </c>
      <c r="AD731" s="3" t="s">
        <v>2</v>
      </c>
      <c r="AE731" s="3" t="s">
        <v>3</v>
      </c>
    </row>
    <row r="732" spans="1:31" x14ac:dyDescent="0.3">
      <c r="B732" s="3">
        <f>$B$4</f>
        <v>0.1</v>
      </c>
      <c r="C732" s="3">
        <f>C717 + $O$7 * B717 * B726</f>
        <v>9.9932048384293981E-2</v>
      </c>
      <c r="D732" s="3">
        <f>B732*C732+B733*C733</f>
        <v>2.998640967685879E-2</v>
      </c>
      <c r="E732" s="3">
        <f>1/(1+EXP(-D732))</f>
        <v>0.50749604073382992</v>
      </c>
      <c r="F732" s="3">
        <f>E732</f>
        <v>0.50749604073382992</v>
      </c>
      <c r="G732" s="3">
        <f>G717 + $O$7 * F717 * F726</f>
        <v>0.10474960648583857</v>
      </c>
      <c r="H732" s="3">
        <f>F732*G732+F733*G733</f>
        <v>0.15915645757834737</v>
      </c>
      <c r="I732" s="3">
        <f>1/(1+EXP(-H732))</f>
        <v>0.53970533583720082</v>
      </c>
      <c r="J732" s="3">
        <f>I732</f>
        <v>0.53970533583720082</v>
      </c>
      <c r="K732" s="3">
        <f>K717 + $P$18 * J717 * J726</f>
        <v>-0.41719575396293129</v>
      </c>
      <c r="L732" s="3">
        <f>J732*K732+J733*K733</f>
        <v>-0.10274549322384507</v>
      </c>
      <c r="M732" s="3">
        <f>1/(1+EXP(-L732))</f>
        <v>0.47433619967343593</v>
      </c>
      <c r="T732" s="3">
        <f t="shared" ref="T732:T738" si="146">$O$19</f>
        <v>0.2</v>
      </c>
      <c r="U732" s="3">
        <f>U717 + $O$7 * T717 * T726</f>
        <v>9.993255875749428E-2</v>
      </c>
      <c r="V732" s="3">
        <f>T732*U732+T733*U733</f>
        <v>5.9973023502997699E-2</v>
      </c>
      <c r="W732" s="3">
        <f>1/(1+EXP(-V732))</f>
        <v>0.51498876355850598</v>
      </c>
      <c r="X732" s="3">
        <f>W732</f>
        <v>0.51498876355850598</v>
      </c>
      <c r="Y732" s="3">
        <f>Y717 + $O$7 * X717 * X726</f>
        <v>0.1046126851354432</v>
      </c>
      <c r="Z732" s="3">
        <f>X732*Y732+X733*Y733</f>
        <v>0.16336820507629168</v>
      </c>
      <c r="AA732" s="3">
        <f>1/(1+EXP(-Z732))</f>
        <v>0.54075145634614119</v>
      </c>
      <c r="AB732" s="3">
        <f>AA732</f>
        <v>0.54075145634614119</v>
      </c>
      <c r="AC732" s="3">
        <f>AC717 +  $P$19 * AB717 * AB726</f>
        <v>-0.41025686036714909</v>
      </c>
      <c r="AD732" s="3">
        <f>AB732*AC732+AB733*AC733</f>
        <v>-9.8967930433491932E-2</v>
      </c>
      <c r="AE732" s="3">
        <f>1/(1+EXP(-AD732))</f>
        <v>0.47527819255523723</v>
      </c>
    </row>
    <row r="733" spans="1:31" x14ac:dyDescent="0.3">
      <c r="B733" s="3">
        <f>$B$5</f>
        <v>0.1</v>
      </c>
      <c r="C733" s="3">
        <f>C718 + $O$7 * B718 * B726</f>
        <v>0.19993204838429388</v>
      </c>
      <c r="D733" s="3">
        <f>B732*C734+B733*C735</f>
        <v>6.9984466801125161E-2</v>
      </c>
      <c r="E733" s="3">
        <f>1/(1+EXP(-D733))</f>
        <v>0.51748897911877711</v>
      </c>
      <c r="F733" s="3">
        <f>E733</f>
        <v>0.51748897911877711</v>
      </c>
      <c r="G733" s="3">
        <f>G718 + $O$7 * F718 * F726</f>
        <v>0.20482841431494264</v>
      </c>
      <c r="H733" s="3">
        <f>F732*G734+F733*G735</f>
        <v>0.35318574321873164</v>
      </c>
      <c r="I733" s="3">
        <f>1/(1+EXP(-H733))</f>
        <v>0.58738989958067778</v>
      </c>
      <c r="J733" s="3">
        <f>I733</f>
        <v>0.58738989958067778</v>
      </c>
      <c r="K733" s="3">
        <f>K718 + $P$18 * J718 * J727</f>
        <v>0.20840889733712384</v>
      </c>
      <c r="L733" s="3"/>
      <c r="M733" s="3"/>
      <c r="T733" s="3">
        <f t="shared" si="146"/>
        <v>0.2</v>
      </c>
      <c r="U733" s="3">
        <f>U718 + $O$7 * T718 * T726</f>
        <v>0.19993255875749416</v>
      </c>
      <c r="V733" s="3">
        <f>T732*U734+T733*U735</f>
        <v>0.13996886462943553</v>
      </c>
      <c r="W733" s="3">
        <f>1/(1+EXP(-V733))</f>
        <v>0.53493519932372746</v>
      </c>
      <c r="X733" s="3">
        <f>W733</f>
        <v>0.53493519932372746</v>
      </c>
      <c r="Y733" s="3">
        <f>Y718 + $O$7 * X718 * X726</f>
        <v>0.20468618973714603</v>
      </c>
      <c r="Z733" s="3">
        <f>X732*Y734+X733*Y735</f>
        <v>0.36233541485388543</v>
      </c>
      <c r="AA733" s="3">
        <f>1/(1+EXP(-Z733))</f>
        <v>0.58960565434626966</v>
      </c>
      <c r="AB733" s="3">
        <f>AA733</f>
        <v>0.58960565434626966</v>
      </c>
      <c r="AC733" s="3">
        <f>AC718 +  $P$19 * AB718 * AB727</f>
        <v>0.20840889733712384</v>
      </c>
      <c r="AD733" s="3"/>
      <c r="AE733" s="3"/>
    </row>
    <row r="734" spans="1:31" x14ac:dyDescent="0.3">
      <c r="B734" s="3">
        <f>$B$6</f>
        <v>0.1</v>
      </c>
      <c r="C734" s="3">
        <f>C719 + $O$7 * B717 * B727</f>
        <v>0.29992233400562573</v>
      </c>
      <c r="D734" s="3"/>
      <c r="E734" s="3"/>
      <c r="F734" s="3"/>
      <c r="G734" s="3">
        <f>G719 + $O$7 * F717 * F727</f>
        <v>0.29414873330101038</v>
      </c>
      <c r="H734" s="3"/>
      <c r="I734" s="3"/>
      <c r="J734" s="3"/>
      <c r="K734" s="3"/>
      <c r="L734" s="3"/>
      <c r="M734" s="3"/>
      <c r="T734" s="3">
        <f t="shared" si="146"/>
        <v>0.2</v>
      </c>
      <c r="U734" s="3">
        <f>U719 + $O$7 * T717 * T727</f>
        <v>0.29992216157358875</v>
      </c>
      <c r="V734" s="3"/>
      <c r="W734" s="3"/>
      <c r="X734" s="3"/>
      <c r="Y734" s="3">
        <f>Y719 + $O$7 * X717 * X727</f>
        <v>0.29421537956627802</v>
      </c>
      <c r="Z734" s="3"/>
      <c r="AA734" s="3"/>
      <c r="AB734" s="3"/>
      <c r="AC734" s="3"/>
      <c r="AD734" s="3"/>
      <c r="AE734" s="3"/>
    </row>
    <row r="735" spans="1:31" x14ac:dyDescent="0.3">
      <c r="B735" s="3">
        <f>$B$7</f>
        <v>0.1</v>
      </c>
      <c r="C735" s="3">
        <f>C720 + $O$7 * B718* B727</f>
        <v>0.39992233400562577</v>
      </c>
      <c r="D735" s="3"/>
      <c r="E735" s="3"/>
      <c r="F735" s="3"/>
      <c r="G735" s="3">
        <f>G720 + $O$7 * F718* F727</f>
        <v>0.3940304700378861</v>
      </c>
      <c r="H735" s="3"/>
      <c r="I735" s="3"/>
      <c r="J735" s="3"/>
      <c r="K735" s="3"/>
      <c r="L735" s="3"/>
      <c r="M735" s="3"/>
      <c r="T735" s="3">
        <f t="shared" si="146"/>
        <v>0.2</v>
      </c>
      <c r="U735" s="3">
        <f>U720 + $O$7 * T718* T727</f>
        <v>0.39992216157358879</v>
      </c>
      <c r="V735" s="3"/>
      <c r="W735" s="3"/>
      <c r="X735" s="3"/>
      <c r="Y735" s="3">
        <f>Y720 + $O$7 * X718* X727</f>
        <v>0.39409969764126601</v>
      </c>
      <c r="Z735" s="3"/>
      <c r="AA735" s="3"/>
      <c r="AB735" s="3"/>
      <c r="AC735" s="3"/>
      <c r="AD735" s="3"/>
      <c r="AE735" s="3"/>
    </row>
    <row r="736" spans="1:31" x14ac:dyDescent="0.3">
      <c r="B736" s="3">
        <f>$B$8</f>
        <v>0.1</v>
      </c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T736" s="3">
        <f t="shared" si="146"/>
        <v>0.2</v>
      </c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 spans="2:31" x14ac:dyDescent="0.3">
      <c r="B737" s="3">
        <f>$B$9</f>
        <v>0.1</v>
      </c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T737" s="3">
        <f t="shared" si="146"/>
        <v>0.2</v>
      </c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 spans="2:31" x14ac:dyDescent="0.3">
      <c r="B738" s="3">
        <f>$B$10</f>
        <v>0.1</v>
      </c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T738" s="3">
        <f t="shared" si="146"/>
        <v>0.2</v>
      </c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 spans="2:31" x14ac:dyDescent="0.3">
      <c r="B739" s="3">
        <f>$B$11</f>
        <v>0.1</v>
      </c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T739" s="3">
        <f>$B$11</f>
        <v>0.1</v>
      </c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5" spans="2:31" x14ac:dyDescent="0.3">
      <c r="B745" s="8" t="s">
        <v>4</v>
      </c>
      <c r="C745" s="8"/>
      <c r="D745" s="8"/>
      <c r="E745" s="8"/>
      <c r="F745" s="8" t="s">
        <v>5</v>
      </c>
      <c r="G745" s="8"/>
      <c r="H745" s="8"/>
      <c r="I745" s="8"/>
      <c r="J745" s="8" t="s">
        <v>6</v>
      </c>
      <c r="K745" s="8"/>
      <c r="L745" s="8"/>
      <c r="M745" s="8"/>
      <c r="T745" s="9" t="s">
        <v>4</v>
      </c>
      <c r="U745" s="10"/>
      <c r="V745" s="10"/>
      <c r="W745" s="11"/>
      <c r="X745" s="9" t="s">
        <v>5</v>
      </c>
      <c r="Y745" s="10"/>
      <c r="Z745" s="10"/>
      <c r="AA745" s="11"/>
      <c r="AB745" s="9" t="s">
        <v>6</v>
      </c>
      <c r="AC745" s="10"/>
      <c r="AD745" s="10"/>
      <c r="AE745" s="11"/>
    </row>
    <row r="746" spans="2:31" x14ac:dyDescent="0.3"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T746" s="12"/>
      <c r="U746" s="13"/>
      <c r="V746" s="13"/>
      <c r="W746" s="14"/>
      <c r="X746" s="12"/>
      <c r="Y746" s="13"/>
      <c r="Z746" s="13"/>
      <c r="AA746" s="14"/>
      <c r="AB746" s="12"/>
      <c r="AC746" s="13"/>
      <c r="AD746" s="13"/>
      <c r="AE746" s="14"/>
    </row>
    <row r="747" spans="2:31" x14ac:dyDescent="0.3">
      <c r="B747" s="3" t="s">
        <v>0</v>
      </c>
      <c r="C747" s="3" t="s">
        <v>1</v>
      </c>
      <c r="D747" s="3" t="s">
        <v>2</v>
      </c>
      <c r="E747" s="3" t="s">
        <v>3</v>
      </c>
      <c r="F747" s="3" t="s">
        <v>0</v>
      </c>
      <c r="G747" s="3" t="s">
        <v>1</v>
      </c>
      <c r="H747" s="3" t="s">
        <v>2</v>
      </c>
      <c r="I747" s="3" t="s">
        <v>3</v>
      </c>
      <c r="J747" s="3" t="s">
        <v>0</v>
      </c>
      <c r="K747" s="3" t="s">
        <v>1</v>
      </c>
      <c r="L747" s="3" t="s">
        <v>2</v>
      </c>
      <c r="M747" s="3" t="s">
        <v>3</v>
      </c>
      <c r="T747" s="3" t="s">
        <v>0</v>
      </c>
      <c r="U747" s="3" t="s">
        <v>1</v>
      </c>
      <c r="V747" s="3" t="s">
        <v>2</v>
      </c>
      <c r="W747" s="3" t="s">
        <v>3</v>
      </c>
      <c r="X747" s="3" t="s">
        <v>0</v>
      </c>
      <c r="Y747" s="3" t="s">
        <v>1</v>
      </c>
      <c r="Z747" s="3" t="s">
        <v>2</v>
      </c>
      <c r="AA747" s="3" t="s">
        <v>3</v>
      </c>
      <c r="AB747" s="3" t="s">
        <v>0</v>
      </c>
      <c r="AC747" s="3" t="s">
        <v>1</v>
      </c>
      <c r="AD747" s="3" t="s">
        <v>2</v>
      </c>
      <c r="AE747" s="3" t="s">
        <v>3</v>
      </c>
    </row>
    <row r="748" spans="2:31" x14ac:dyDescent="0.3">
      <c r="B748" s="3">
        <f>$B$4</f>
        <v>0.1</v>
      </c>
      <c r="C748" s="3">
        <f>U732</f>
        <v>9.993255875749428E-2</v>
      </c>
      <c r="D748" s="3">
        <f>B748*C748+B749*C749</f>
        <v>2.998651175149885E-2</v>
      </c>
      <c r="E748" s="3">
        <f>1/(1+EXP(-D748))</f>
        <v>0.50749606624675436</v>
      </c>
      <c r="F748" s="3">
        <f>E748</f>
        <v>0.50749606624675436</v>
      </c>
      <c r="G748" s="3">
        <f>Y732</f>
        <v>0.1046126851354432</v>
      </c>
      <c r="H748" s="3">
        <f>F748*G748+F749*G749</f>
        <v>0.15901337178997199</v>
      </c>
      <c r="I748" s="3">
        <f>1/(1+EXP(-H748))</f>
        <v>0.53966978976492563</v>
      </c>
      <c r="J748" s="3">
        <f>I748</f>
        <v>0.53966978976492563</v>
      </c>
      <c r="K748" s="3">
        <f>AC732</f>
        <v>-0.41025686036714909</v>
      </c>
      <c r="L748" s="3">
        <f>J748*K748+J749*K749</f>
        <v>-9.8982434194841123E-2</v>
      </c>
      <c r="M748" s="3">
        <f>1/(1+EXP(-L748))</f>
        <v>0.4752745754804284</v>
      </c>
      <c r="T748" s="3">
        <f>$O$19</f>
        <v>0.2</v>
      </c>
      <c r="U748" s="3">
        <f>C763</f>
        <v>9.9931768770669255E-2</v>
      </c>
      <c r="V748" s="3">
        <f>T748*U748+T749*U749</f>
        <v>5.9972707508267685E-2</v>
      </c>
      <c r="W748" s="3">
        <f>1/(1+EXP(-V748))</f>
        <v>0.51498868463081549</v>
      </c>
      <c r="X748" s="3">
        <f>W748</f>
        <v>0.51498868463081549</v>
      </c>
      <c r="Y748" s="3">
        <f>G763</f>
        <v>0.10500202998323259</v>
      </c>
      <c r="Z748" s="3">
        <f>X748*Y748+X749*Y749</f>
        <v>0.16378108398497485</v>
      </c>
      <c r="AA748" s="3">
        <f>1/(1+EXP(-Z748))</f>
        <v>0.54085398868646695</v>
      </c>
      <c r="AB748" s="3">
        <f>AA748</f>
        <v>0.54085398868646695</v>
      </c>
      <c r="AC748" s="3">
        <f>K763</f>
        <v>-0.42650622609681582</v>
      </c>
      <c r="AD748" s="3">
        <f>AB748*AC748+AB749*AC749</f>
        <v>-0.10780884913798316</v>
      </c>
      <c r="AE748" s="3">
        <f>1/(1+EXP(-AD748))</f>
        <v>0.4730738623075943</v>
      </c>
    </row>
    <row r="749" spans="2:31" x14ac:dyDescent="0.3">
      <c r="B749" s="3">
        <f>$B$5</f>
        <v>0.1</v>
      </c>
      <c r="C749" s="3">
        <f>U733</f>
        <v>0.19993255875749416</v>
      </c>
      <c r="D749" s="3">
        <f>B748*C750+B749*C751</f>
        <v>6.9984432314717765E-2</v>
      </c>
      <c r="E749" s="3">
        <f>1/(1+EXP(-D749))</f>
        <v>0.51748897050772347</v>
      </c>
      <c r="F749" s="3">
        <f>E749</f>
        <v>0.51748897050772347</v>
      </c>
      <c r="G749" s="3">
        <f t="shared" ref="G749:G751" si="147">Y733</f>
        <v>0.20468618973714603</v>
      </c>
      <c r="H749" s="3">
        <f>F748*G750+F749*G751</f>
        <v>0.35325539456896565</v>
      </c>
      <c r="I749" s="3">
        <f>1/(1+EXP(-H749))</f>
        <v>0.58740678038849681</v>
      </c>
      <c r="J749" s="3">
        <f>I749</f>
        <v>0.58740678038849681</v>
      </c>
      <c r="K749" s="3">
        <f>AC733</f>
        <v>0.20840889733712384</v>
      </c>
      <c r="L749" s="3"/>
      <c r="M749" s="3"/>
      <c r="T749" s="3">
        <f t="shared" ref="T749:T755" si="148">$O$19</f>
        <v>0.2</v>
      </c>
      <c r="U749" s="3">
        <f t="shared" ref="U749:U751" si="149">C764</f>
        <v>0.19993176877066915</v>
      </c>
      <c r="V749" s="3">
        <f>T748*U750+T749*U751</f>
        <v>0.13996893645553027</v>
      </c>
      <c r="W749" s="3">
        <f>1/(1+EXP(-V749))</f>
        <v>0.53493521719258963</v>
      </c>
      <c r="X749" s="3">
        <f>W749</f>
        <v>0.53493521719258963</v>
      </c>
      <c r="Y749" s="3">
        <f t="shared" ref="Y749:Y751" si="150">G764</f>
        <v>0.20508320102029765</v>
      </c>
      <c r="Z749" s="3">
        <f>X748*Y750+X749*Y751</f>
        <v>0.36213077711164221</v>
      </c>
      <c r="AA749" s="3">
        <f>1/(1+EXP(-Z749))</f>
        <v>0.58955613707479271</v>
      </c>
      <c r="AB749" s="3">
        <f>AA749</f>
        <v>0.58955613707479271</v>
      </c>
      <c r="AC749" s="3">
        <f>K764</f>
        <v>0.20840889733712384</v>
      </c>
      <c r="AD749" s="3"/>
      <c r="AE749" s="3"/>
    </row>
    <row r="750" spans="2:31" x14ac:dyDescent="0.3">
      <c r="B750" s="3">
        <f>$B$6</f>
        <v>0.1</v>
      </c>
      <c r="C750" s="3">
        <f t="shared" ref="C750:C751" si="151">U734</f>
        <v>0.29992216157358875</v>
      </c>
      <c r="D750" s="3"/>
      <c r="E750" s="3"/>
      <c r="F750" s="3"/>
      <c r="G750" s="3">
        <f t="shared" si="147"/>
        <v>0.29421537956627802</v>
      </c>
      <c r="H750" s="3"/>
      <c r="I750" s="3"/>
      <c r="J750" s="3"/>
      <c r="K750" s="3"/>
      <c r="L750" s="3"/>
      <c r="M750" s="3"/>
      <c r="T750" s="3">
        <f t="shared" si="148"/>
        <v>0.2</v>
      </c>
      <c r="U750" s="3">
        <f t="shared" si="149"/>
        <v>0.29992234113882565</v>
      </c>
      <c r="V750" s="3"/>
      <c r="W750" s="3"/>
      <c r="X750" s="3"/>
      <c r="Y750" s="3">
        <f t="shared" si="150"/>
        <v>0.29402242356390623</v>
      </c>
      <c r="Z750" s="3"/>
      <c r="AA750" s="3"/>
      <c r="AB750" s="3"/>
      <c r="AC750" s="3"/>
      <c r="AD750" s="3"/>
      <c r="AE750" s="3"/>
    </row>
    <row r="751" spans="2:31" x14ac:dyDescent="0.3">
      <c r="B751" s="3">
        <f>$B$7</f>
        <v>0.1</v>
      </c>
      <c r="C751" s="3">
        <f t="shared" si="151"/>
        <v>0.39992216157358879</v>
      </c>
      <c r="D751" s="3"/>
      <c r="E751" s="3"/>
      <c r="F751" s="3"/>
      <c r="G751" s="3">
        <f t="shared" si="147"/>
        <v>0.39409969764126601</v>
      </c>
      <c r="H751" s="3"/>
      <c r="I751" s="3"/>
      <c r="J751" s="3"/>
      <c r="K751" s="3"/>
      <c r="L751" s="3"/>
      <c r="M751" s="3"/>
      <c r="T751" s="3">
        <f t="shared" si="148"/>
        <v>0.2</v>
      </c>
      <c r="U751" s="3">
        <f t="shared" si="149"/>
        <v>0.39992234113882569</v>
      </c>
      <c r="V751" s="3"/>
      <c r="W751" s="3"/>
      <c r="X751" s="3"/>
      <c r="Y751" s="3">
        <f t="shared" si="150"/>
        <v>0.39390294221859024</v>
      </c>
      <c r="Z751" s="3"/>
      <c r="AA751" s="3"/>
      <c r="AB751" s="3"/>
      <c r="AC751" s="3"/>
      <c r="AD751" s="3"/>
      <c r="AE751" s="3"/>
    </row>
    <row r="752" spans="2:31" x14ac:dyDescent="0.3">
      <c r="B752" s="3">
        <f>$B$8</f>
        <v>0.1</v>
      </c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T752" s="3">
        <f t="shared" si="148"/>
        <v>0.2</v>
      </c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 spans="1:31" x14ac:dyDescent="0.3">
      <c r="B753" s="3">
        <f>$B$9</f>
        <v>0.1</v>
      </c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T753" s="3">
        <f t="shared" si="148"/>
        <v>0.2</v>
      </c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 spans="1:31" x14ac:dyDescent="0.3">
      <c r="B754" s="3">
        <f>$B$10</f>
        <v>0.1</v>
      </c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T754" s="3">
        <f t="shared" si="148"/>
        <v>0.2</v>
      </c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 spans="1:31" x14ac:dyDescent="0.3">
      <c r="B755" s="3">
        <f>$B$11</f>
        <v>0.1</v>
      </c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T755" s="3">
        <f t="shared" si="148"/>
        <v>0.2</v>
      </c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7" spans="1:31" x14ac:dyDescent="0.3">
      <c r="A757" s="4" t="s">
        <v>7</v>
      </c>
      <c r="B757" s="5">
        <f>E748 * (1 - E748) * (G748 * F757 + G750 * F758)</f>
        <v>-7.8998682502012051E-5</v>
      </c>
      <c r="C757" s="6"/>
      <c r="D757" s="6"/>
      <c r="E757" s="7"/>
      <c r="F757" s="5">
        <f>I748 * (1 - I748) * K748 *J757</f>
        <v>7.6718791274351453E-3</v>
      </c>
      <c r="G757" s="6"/>
      <c r="H757" s="6"/>
      <c r="I757" s="7"/>
      <c r="J757" s="5">
        <f>$P$18 - M748</f>
        <v>-7.5274575480428374E-2</v>
      </c>
      <c r="K757" s="6"/>
      <c r="L757" s="6"/>
      <c r="M757" s="7"/>
      <c r="S757" s="4" t="s">
        <v>7</v>
      </c>
      <c r="T757" s="5">
        <f>W748 * (1 - W748) * (Y748 * X757 + Y750 * X758)</f>
        <v>2.4928044076949822E-5</v>
      </c>
      <c r="U757" s="6"/>
      <c r="V757" s="6"/>
      <c r="W757" s="7"/>
      <c r="X757" s="5">
        <f>AA748 * (1 - AA748) * AC748 *AB757</f>
        <v>-2.8518737148972781E-3</v>
      </c>
      <c r="Y757" s="6"/>
      <c r="Z757" s="6"/>
      <c r="AA757" s="7"/>
      <c r="AB757" s="5">
        <f>$P$19 - AE748</f>
        <v>2.6926137692405705E-2</v>
      </c>
      <c r="AC757" s="6"/>
      <c r="AD757" s="6"/>
      <c r="AE757" s="7"/>
    </row>
    <row r="758" spans="1:31" x14ac:dyDescent="0.3">
      <c r="B758" s="5">
        <f>E749 * (1 - E749) * (G749 * F757 + G751 * F758)</f>
        <v>1.79565236925815E-5</v>
      </c>
      <c r="C758" s="6"/>
      <c r="D758" s="6"/>
      <c r="E758" s="7"/>
      <c r="F758" s="5">
        <f>J749 * (1 - J749) * K749 * J757</f>
        <v>-3.8021181878086785E-3</v>
      </c>
      <c r="G758" s="6"/>
      <c r="H758" s="6"/>
      <c r="I758" s="7"/>
      <c r="T758" s="5">
        <f>W749 * (1 - W749) * (Y749 * X757 + Y751 * X758)</f>
        <v>-1.2436186729658231E-5</v>
      </c>
      <c r="U758" s="6"/>
      <c r="V758" s="6"/>
      <c r="W758" s="7"/>
      <c r="X758" s="5">
        <f>AB749 * (1 - AB749) * AC749 * AB757</f>
        <v>1.3579045672788578E-3</v>
      </c>
      <c r="Y758" s="6"/>
      <c r="Z758" s="6"/>
      <c r="AA758" s="7"/>
    </row>
    <row r="760" spans="1:31" x14ac:dyDescent="0.3">
      <c r="B760" s="8" t="s">
        <v>4</v>
      </c>
      <c r="C760" s="8"/>
      <c r="D760" s="8"/>
      <c r="E760" s="8"/>
      <c r="F760" s="8" t="s">
        <v>5</v>
      </c>
      <c r="G760" s="8"/>
      <c r="H760" s="8"/>
      <c r="I760" s="8"/>
      <c r="J760" s="8" t="s">
        <v>6</v>
      </c>
      <c r="K760" s="8"/>
      <c r="L760" s="8"/>
      <c r="M760" s="8"/>
      <c r="T760" s="9" t="s">
        <v>4</v>
      </c>
      <c r="U760" s="10"/>
      <c r="V760" s="10"/>
      <c r="W760" s="11"/>
      <c r="X760" s="9" t="s">
        <v>5</v>
      </c>
      <c r="Y760" s="10"/>
      <c r="Z760" s="10"/>
      <c r="AA760" s="11"/>
      <c r="AB760" s="9" t="s">
        <v>6</v>
      </c>
      <c r="AC760" s="10"/>
      <c r="AD760" s="10"/>
      <c r="AE760" s="11"/>
    </row>
    <row r="761" spans="1:31" x14ac:dyDescent="0.3"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T761" s="12"/>
      <c r="U761" s="13"/>
      <c r="V761" s="13"/>
      <c r="W761" s="14"/>
      <c r="X761" s="12"/>
      <c r="Y761" s="13"/>
      <c r="Z761" s="13"/>
      <c r="AA761" s="14"/>
      <c r="AB761" s="12"/>
      <c r="AC761" s="13"/>
      <c r="AD761" s="13"/>
      <c r="AE761" s="14"/>
    </row>
    <row r="762" spans="1:31" x14ac:dyDescent="0.3">
      <c r="B762" s="3" t="s">
        <v>0</v>
      </c>
      <c r="C762" s="3" t="s">
        <v>1</v>
      </c>
      <c r="D762" s="3" t="s">
        <v>2</v>
      </c>
      <c r="E762" s="3" t="s">
        <v>3</v>
      </c>
      <c r="F762" s="3" t="s">
        <v>0</v>
      </c>
      <c r="G762" s="3" t="s">
        <v>1</v>
      </c>
      <c r="H762" s="3" t="s">
        <v>2</v>
      </c>
      <c r="I762" s="3" t="s">
        <v>3</v>
      </c>
      <c r="J762" s="3" t="s">
        <v>0</v>
      </c>
      <c r="K762" s="3" t="s">
        <v>1</v>
      </c>
      <c r="L762" s="3" t="s">
        <v>2</v>
      </c>
      <c r="M762" s="3" t="s">
        <v>3</v>
      </c>
      <c r="T762" s="3">
        <f>$O$19</f>
        <v>0.2</v>
      </c>
      <c r="U762" s="3" t="s">
        <v>1</v>
      </c>
      <c r="V762" s="3" t="s">
        <v>2</v>
      </c>
      <c r="W762" s="3" t="s">
        <v>3</v>
      </c>
      <c r="X762" s="3" t="s">
        <v>0</v>
      </c>
      <c r="Y762" s="3" t="s">
        <v>1</v>
      </c>
      <c r="Z762" s="3" t="s">
        <v>2</v>
      </c>
      <c r="AA762" s="3" t="s">
        <v>3</v>
      </c>
      <c r="AB762" s="3" t="s">
        <v>0</v>
      </c>
      <c r="AC762" s="3" t="s">
        <v>1</v>
      </c>
      <c r="AD762" s="3" t="s">
        <v>2</v>
      </c>
      <c r="AE762" s="3" t="s">
        <v>3</v>
      </c>
    </row>
    <row r="763" spans="1:31" x14ac:dyDescent="0.3">
      <c r="B763" s="3">
        <f>$B$4</f>
        <v>0.1</v>
      </c>
      <c r="C763" s="3">
        <f>C748 + $O$7 * B748 * B757</f>
        <v>9.9931768770669255E-2</v>
      </c>
      <c r="D763" s="3">
        <f>B763*C763+B764*C764</f>
        <v>2.9986353754133842E-2</v>
      </c>
      <c r="E763" s="3">
        <f>1/(1+EXP(-D763))</f>
        <v>0.50749602675629102</v>
      </c>
      <c r="F763" s="3">
        <f>E763</f>
        <v>0.50749602675629102</v>
      </c>
      <c r="G763" s="3">
        <f>G748 + $O$7 * F748 * F757</f>
        <v>0.10500202998323259</v>
      </c>
      <c r="H763" s="3">
        <f>F763*G763+F764*G764</f>
        <v>0.15941640942129573</v>
      </c>
      <c r="I763" s="3">
        <f>1/(1+EXP(-H763))</f>
        <v>0.5397699133133993</v>
      </c>
      <c r="J763" s="3">
        <f>I763</f>
        <v>0.5397699133133993</v>
      </c>
      <c r="K763" s="3">
        <f>K748 + $P$18 * J748 * J757</f>
        <v>-0.42650622609681582</v>
      </c>
      <c r="L763" s="3">
        <f>J763*K763+J764*K764</f>
        <v>-0.10780451890901442</v>
      </c>
      <c r="M763" s="3">
        <f>1/(1+EXP(-L763))</f>
        <v>0.47307494172547315</v>
      </c>
      <c r="T763" s="3">
        <f t="shared" ref="T763:T769" si="152">$O$19</f>
        <v>0.2</v>
      </c>
      <c r="U763" s="3">
        <f>U748 + $O$7 * T748 * T757</f>
        <v>9.9932267331550792E-2</v>
      </c>
      <c r="V763" s="3">
        <f>T763*U763+T764*U764</f>
        <v>5.99729069326203E-2</v>
      </c>
      <c r="W763" s="3">
        <f>1/(1+EXP(-V763))</f>
        <v>0.51498873444210069</v>
      </c>
      <c r="X763" s="3">
        <f>W763</f>
        <v>0.51498873444210069</v>
      </c>
      <c r="Y763" s="3">
        <f>Y748 + $O$7 * X748 * X757</f>
        <v>0.10485516171391578</v>
      </c>
      <c r="Z763" s="3">
        <f>X763*Y763+X764*Y764</f>
        <v>0.16362384065079141</v>
      </c>
      <c r="AA763" s="3">
        <f>1/(1+EXP(-Z763))</f>
        <v>0.54081494004888642</v>
      </c>
      <c r="AB763" s="3">
        <f>AA763</f>
        <v>0.54081494004888642</v>
      </c>
      <c r="AC763" s="3">
        <f>AC748 +  $P$19 * AB748 * AB757</f>
        <v>-0.41922467161138649</v>
      </c>
      <c r="AD763" s="3">
        <f>AB763*AC763+AB764*AC764</f>
        <v>-0.10385044519567595</v>
      </c>
      <c r="AE763" s="3">
        <f>1/(1+EXP(-AD763))</f>
        <v>0.47406069727623606</v>
      </c>
    </row>
    <row r="764" spans="1:31" x14ac:dyDescent="0.3">
      <c r="B764" s="3">
        <f>$B$5</f>
        <v>0.1</v>
      </c>
      <c r="C764" s="3">
        <f>C749 + $O$7 * B749 * B757</f>
        <v>0.19993176877066915</v>
      </c>
      <c r="D764" s="3">
        <f>B763*C765+B764*C766</f>
        <v>6.9984468227765134E-2</v>
      </c>
      <c r="E764" s="3">
        <f>1/(1+EXP(-D764))</f>
        <v>0.51748897947500072</v>
      </c>
      <c r="F764" s="3">
        <f>E764</f>
        <v>0.51748897947500072</v>
      </c>
      <c r="G764" s="3">
        <f>G749 + $O$7 * F749 * F757</f>
        <v>0.20508320102029765</v>
      </c>
      <c r="H764" s="3">
        <f>F763*G765+F764*G766</f>
        <v>0.35305564331683614</v>
      </c>
      <c r="I764" s="3">
        <f>1/(1+EXP(-H764))</f>
        <v>0.58735836781899209</v>
      </c>
      <c r="J764" s="3">
        <f>I764</f>
        <v>0.58735836781899209</v>
      </c>
      <c r="K764" s="3">
        <f>K749 + $P$18 * J749 * J758</f>
        <v>0.20840889733712384</v>
      </c>
      <c r="L764" s="3"/>
      <c r="M764" s="3"/>
      <c r="T764" s="3">
        <f t="shared" si="152"/>
        <v>0.2</v>
      </c>
      <c r="U764" s="3">
        <f>U749 + $O$7 * T749 * T757</f>
        <v>0.1999322673315507</v>
      </c>
      <c r="V764" s="3">
        <f>T763*U765+T764*U766</f>
        <v>0.13996883696603643</v>
      </c>
      <c r="W764" s="3">
        <f>1/(1+EXP(-V764))</f>
        <v>0.53493519244164001</v>
      </c>
      <c r="X764" s="3">
        <f>W764</f>
        <v>0.53493519244164001</v>
      </c>
      <c r="Y764" s="3">
        <f>Y749 + $O$7 * X749 * X757</f>
        <v>0.2049306442517892</v>
      </c>
      <c r="Z764" s="3">
        <f>X763*Y765+X764*Y766</f>
        <v>0.36220565266215665</v>
      </c>
      <c r="AA764" s="3">
        <f>1/(1+EXP(-Z764))</f>
        <v>0.58957425531641572</v>
      </c>
      <c r="AB764" s="3">
        <f>AA764</f>
        <v>0.58957425531641572</v>
      </c>
      <c r="AC764" s="3">
        <f>AC749 +  $P$19 * AB749 * AB758</f>
        <v>0.20840889733712384</v>
      </c>
      <c r="AD764" s="3"/>
      <c r="AE764" s="3"/>
    </row>
    <row r="765" spans="1:31" x14ac:dyDescent="0.3">
      <c r="B765" s="3">
        <f>$B$6</f>
        <v>0.1</v>
      </c>
      <c r="C765" s="3">
        <f>C750 + $O$7 * B748 * B758</f>
        <v>0.29992234113882565</v>
      </c>
      <c r="D765" s="3"/>
      <c r="E765" s="3"/>
      <c r="F765" s="3"/>
      <c r="G765" s="3">
        <f>G750 + $O$7 * F748 * F758</f>
        <v>0.29402242356390623</v>
      </c>
      <c r="H765" s="3"/>
      <c r="I765" s="3"/>
      <c r="J765" s="3"/>
      <c r="K765" s="3"/>
      <c r="L765" s="3"/>
      <c r="M765" s="3"/>
      <c r="T765" s="3">
        <f t="shared" si="152"/>
        <v>0.2</v>
      </c>
      <c r="U765" s="3">
        <f>U750 + $O$7 * T748 * T758</f>
        <v>0.29992209241509105</v>
      </c>
      <c r="V765" s="3"/>
      <c r="W765" s="3"/>
      <c r="X765" s="3"/>
      <c r="Y765" s="3">
        <f>Y750 + $O$7 * X748 * X758</f>
        <v>0.29409235411260193</v>
      </c>
      <c r="Z765" s="3"/>
      <c r="AA765" s="3"/>
      <c r="AB765" s="3"/>
      <c r="AC765" s="3"/>
      <c r="AD765" s="3"/>
      <c r="AE765" s="3"/>
    </row>
    <row r="766" spans="1:31" x14ac:dyDescent="0.3">
      <c r="B766" s="3">
        <f>$B$7</f>
        <v>0.1</v>
      </c>
      <c r="C766" s="3">
        <f>C751 + $O$7 * B749* B758</f>
        <v>0.39992234113882569</v>
      </c>
      <c r="D766" s="3"/>
      <c r="E766" s="3"/>
      <c r="F766" s="3"/>
      <c r="G766" s="3">
        <f>G751 + $O$7 * F749* F758</f>
        <v>0.39390294221859024</v>
      </c>
      <c r="H766" s="3"/>
      <c r="I766" s="3"/>
      <c r="J766" s="3"/>
      <c r="K766" s="3"/>
      <c r="L766" s="3"/>
      <c r="M766" s="3"/>
      <c r="T766" s="3">
        <f t="shared" si="152"/>
        <v>0.2</v>
      </c>
      <c r="U766" s="3">
        <f>U751 + $O$7 * T749* T758</f>
        <v>0.39992209241509108</v>
      </c>
      <c r="V766" s="3"/>
      <c r="W766" s="3"/>
      <c r="X766" s="3"/>
      <c r="Y766" s="3">
        <f>Y751 + $O$7 * X749* X758</f>
        <v>0.39397558131605265</v>
      </c>
      <c r="Z766" s="3"/>
      <c r="AA766" s="3"/>
      <c r="AB766" s="3"/>
      <c r="AC766" s="3"/>
      <c r="AD766" s="3"/>
      <c r="AE766" s="3"/>
    </row>
    <row r="767" spans="1:31" x14ac:dyDescent="0.3">
      <c r="B767" s="3">
        <f>$B$8</f>
        <v>0.1</v>
      </c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T767" s="3">
        <f t="shared" si="152"/>
        <v>0.2</v>
      </c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 spans="1:31" x14ac:dyDescent="0.3">
      <c r="B768" s="3">
        <f>$B$9</f>
        <v>0.1</v>
      </c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T768" s="3">
        <f t="shared" si="152"/>
        <v>0.2</v>
      </c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 spans="2:31" x14ac:dyDescent="0.3">
      <c r="B769" s="3">
        <f>$B$10</f>
        <v>0.1</v>
      </c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T769" s="3">
        <f t="shared" si="152"/>
        <v>0.2</v>
      </c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 spans="2:31" x14ac:dyDescent="0.3">
      <c r="B770" s="3">
        <f>$B$11</f>
        <v>0.1</v>
      </c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T770" s="3">
        <f>$B$11</f>
        <v>0.1</v>
      </c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6" spans="2:31" x14ac:dyDescent="0.3">
      <c r="B776" s="8" t="s">
        <v>4</v>
      </c>
      <c r="C776" s="8"/>
      <c r="D776" s="8"/>
      <c r="E776" s="8"/>
      <c r="F776" s="8" t="s">
        <v>5</v>
      </c>
      <c r="G776" s="8"/>
      <c r="H776" s="8"/>
      <c r="I776" s="8"/>
      <c r="J776" s="8" t="s">
        <v>6</v>
      </c>
      <c r="K776" s="8"/>
      <c r="L776" s="8"/>
      <c r="M776" s="8"/>
      <c r="T776" s="9" t="s">
        <v>4</v>
      </c>
      <c r="U776" s="10"/>
      <c r="V776" s="10"/>
      <c r="W776" s="11"/>
      <c r="X776" s="9" t="s">
        <v>5</v>
      </c>
      <c r="Y776" s="10"/>
      <c r="Z776" s="10"/>
      <c r="AA776" s="11"/>
      <c r="AB776" s="9" t="s">
        <v>6</v>
      </c>
      <c r="AC776" s="10"/>
      <c r="AD776" s="10"/>
      <c r="AE776" s="11"/>
    </row>
    <row r="777" spans="2:31" x14ac:dyDescent="0.3"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T777" s="12"/>
      <c r="U777" s="13"/>
      <c r="V777" s="13"/>
      <c r="W777" s="14"/>
      <c r="X777" s="12"/>
      <c r="Y777" s="13"/>
      <c r="Z777" s="13"/>
      <c r="AA777" s="14"/>
      <c r="AB777" s="12"/>
      <c r="AC777" s="13"/>
      <c r="AD777" s="13"/>
      <c r="AE777" s="14"/>
    </row>
    <row r="778" spans="2:31" x14ac:dyDescent="0.3">
      <c r="B778" s="3" t="s">
        <v>0</v>
      </c>
      <c r="C778" s="3" t="s">
        <v>1</v>
      </c>
      <c r="D778" s="3" t="s">
        <v>2</v>
      </c>
      <c r="E778" s="3" t="s">
        <v>3</v>
      </c>
      <c r="F778" s="3" t="s">
        <v>0</v>
      </c>
      <c r="G778" s="3" t="s">
        <v>1</v>
      </c>
      <c r="H778" s="3" t="s">
        <v>2</v>
      </c>
      <c r="I778" s="3" t="s">
        <v>3</v>
      </c>
      <c r="J778" s="3" t="s">
        <v>0</v>
      </c>
      <c r="K778" s="3" t="s">
        <v>1</v>
      </c>
      <c r="L778" s="3" t="s">
        <v>2</v>
      </c>
      <c r="M778" s="3" t="s">
        <v>3</v>
      </c>
      <c r="T778" s="3" t="s">
        <v>0</v>
      </c>
      <c r="U778" s="3" t="s">
        <v>1</v>
      </c>
      <c r="V778" s="3" t="s">
        <v>2</v>
      </c>
      <c r="W778" s="3" t="s">
        <v>3</v>
      </c>
      <c r="X778" s="3" t="s">
        <v>0</v>
      </c>
      <c r="Y778" s="3" t="s">
        <v>1</v>
      </c>
      <c r="Z778" s="3" t="s">
        <v>2</v>
      </c>
      <c r="AA778" s="3" t="s">
        <v>3</v>
      </c>
      <c r="AB778" s="3" t="s">
        <v>0</v>
      </c>
      <c r="AC778" s="3" t="s">
        <v>1</v>
      </c>
      <c r="AD778" s="3" t="s">
        <v>2</v>
      </c>
      <c r="AE778" s="3" t="s">
        <v>3</v>
      </c>
    </row>
    <row r="779" spans="2:31" x14ac:dyDescent="0.3">
      <c r="B779" s="3">
        <f>$B$4</f>
        <v>0.1</v>
      </c>
      <c r="C779" s="3">
        <f>U763</f>
        <v>9.9932267331550792E-2</v>
      </c>
      <c r="D779" s="3">
        <f>B779*C779+B780*C780</f>
        <v>2.998645346631015E-2</v>
      </c>
      <c r="E779" s="3">
        <f>1/(1+EXP(-D779))</f>
        <v>0.50749605167873224</v>
      </c>
      <c r="F779" s="3">
        <f>E779</f>
        <v>0.50749605167873224</v>
      </c>
      <c r="G779" s="3">
        <f>Y763</f>
        <v>0.10485516171391578</v>
      </c>
      <c r="H779" s="3">
        <f>F779*G779+F780*G780</f>
        <v>0.15926292797952235</v>
      </c>
      <c r="I779" s="3">
        <f>1/(1+EXP(-H779))</f>
        <v>0.53973178547360978</v>
      </c>
      <c r="J779" s="3">
        <f>I779</f>
        <v>0.53973178547360978</v>
      </c>
      <c r="K779" s="3">
        <f>AC763</f>
        <v>-0.41922467161138649</v>
      </c>
      <c r="L779" s="3">
        <f>J779*K779+J780*K780</f>
        <v>-0.10385447927587826</v>
      </c>
      <c r="M779" s="3">
        <f>1/(1+EXP(-L779))</f>
        <v>0.47405969147061111</v>
      </c>
      <c r="T779" s="3">
        <f>$O$19</f>
        <v>0.2</v>
      </c>
      <c r="U779" s="3">
        <f>C794</f>
        <v>9.9931538959722344E-2</v>
      </c>
      <c r="V779" s="3">
        <f>T779*U779+T780*U780</f>
        <v>5.9972615583888923E-2</v>
      </c>
      <c r="W779" s="3">
        <f>1/(1+EXP(-V779))</f>
        <v>0.5149886616703726</v>
      </c>
      <c r="X779" s="3">
        <f>W779</f>
        <v>0.5149886616703726</v>
      </c>
      <c r="Y779" s="3">
        <f>G794</f>
        <v>0.10524658835276428</v>
      </c>
      <c r="Z779" s="3">
        <f>X779*Y779+X780*Y780</f>
        <v>0.16403892961368965</v>
      </c>
      <c r="AA779" s="3">
        <f>1/(1+EXP(-Z779))</f>
        <v>0.54091801906196157</v>
      </c>
      <c r="AB779" s="3">
        <f>AA779</f>
        <v>0.54091801906196157</v>
      </c>
      <c r="AC779" s="3">
        <f>K794</f>
        <v>-0.43521361941500952</v>
      </c>
      <c r="AD779" s="3">
        <f>AB779*AC779+AB780*AC780</f>
        <v>-0.11255252192478125</v>
      </c>
      <c r="AE779" s="3">
        <f>1/(1+EXP(-AD779))</f>
        <v>0.47189153658791971</v>
      </c>
    </row>
    <row r="780" spans="2:31" x14ac:dyDescent="0.3">
      <c r="B780" s="3">
        <f>$B$5</f>
        <v>0.1</v>
      </c>
      <c r="C780" s="3">
        <f>U764</f>
        <v>0.1999322673315507</v>
      </c>
      <c r="D780" s="3">
        <f>B779*C781+B780*C782</f>
        <v>6.9984418483018215E-2</v>
      </c>
      <c r="E780" s="3">
        <f>1/(1+EXP(-D780))</f>
        <v>0.51748896705402914</v>
      </c>
      <c r="F780" s="3">
        <f>E780</f>
        <v>0.51748896705402914</v>
      </c>
      <c r="G780" s="3">
        <f t="shared" ref="G780:G782" si="153">Y764</f>
        <v>0.2049306442517892</v>
      </c>
      <c r="H780" s="3">
        <f>F779*G781+F780*G782</f>
        <v>0.35312872516080379</v>
      </c>
      <c r="I780" s="3">
        <f>1/(1+EXP(-H780))</f>
        <v>0.58737608044393907</v>
      </c>
      <c r="J780" s="3">
        <f>I780</f>
        <v>0.58737608044393907</v>
      </c>
      <c r="K780" s="3">
        <f>AC764</f>
        <v>0.20840889733712384</v>
      </c>
      <c r="L780" s="3"/>
      <c r="M780" s="3"/>
      <c r="T780" s="3">
        <f t="shared" ref="T780:T786" si="154">$O$19</f>
        <v>0.2</v>
      </c>
      <c r="U780" s="3">
        <f t="shared" ref="U780:U782" si="155">C795</f>
        <v>0.19993153895972227</v>
      </c>
      <c r="V780" s="3">
        <f>T779*U781+T780*U782</f>
        <v>0.13996894364643991</v>
      </c>
      <c r="W780" s="3">
        <f>1/(1+EXP(-V780))</f>
        <v>0.53493521898154084</v>
      </c>
      <c r="X780" s="3">
        <f>W780</f>
        <v>0.53493521898154084</v>
      </c>
      <c r="Y780" s="3">
        <f t="shared" ref="Y780:Y782" si="156">G795</f>
        <v>0.20532977832651766</v>
      </c>
      <c r="Z780" s="3">
        <f>X779*Y781+X780*Y782</f>
        <v>0.36200431816685624</v>
      </c>
      <c r="AA780" s="3">
        <f>1/(1+EXP(-Z780))</f>
        <v>0.58952553623096549</v>
      </c>
      <c r="AB780" s="3">
        <f>AA780</f>
        <v>0.58952553623096549</v>
      </c>
      <c r="AC780" s="3">
        <f>K795</f>
        <v>0.20840889733712384</v>
      </c>
      <c r="AD780" s="3"/>
      <c r="AE780" s="3"/>
    </row>
    <row r="781" spans="2:31" x14ac:dyDescent="0.3">
      <c r="B781" s="3">
        <f>$B$6</f>
        <v>0.1</v>
      </c>
      <c r="C781" s="3">
        <f t="shared" ref="C781:C782" si="157">U765</f>
        <v>0.29992209241509105</v>
      </c>
      <c r="D781" s="3"/>
      <c r="E781" s="3"/>
      <c r="F781" s="3"/>
      <c r="G781" s="3">
        <f t="shared" si="153"/>
        <v>0.29409235411260193</v>
      </c>
      <c r="H781" s="3"/>
      <c r="I781" s="3"/>
      <c r="J781" s="3"/>
      <c r="K781" s="3"/>
      <c r="L781" s="3"/>
      <c r="M781" s="3"/>
      <c r="T781" s="3">
        <f t="shared" si="154"/>
        <v>0.2</v>
      </c>
      <c r="U781" s="3">
        <f t="shared" si="155"/>
        <v>0.29992235911609977</v>
      </c>
      <c r="V781" s="3"/>
      <c r="W781" s="3"/>
      <c r="X781" s="3"/>
      <c r="Y781" s="3">
        <f t="shared" si="156"/>
        <v>0.29390250810036722</v>
      </c>
      <c r="Z781" s="3"/>
      <c r="AA781" s="3"/>
      <c r="AB781" s="3"/>
      <c r="AC781" s="3"/>
      <c r="AD781" s="3"/>
      <c r="AE781" s="3"/>
    </row>
    <row r="782" spans="2:31" x14ac:dyDescent="0.3">
      <c r="B782" s="3">
        <f>$B$7</f>
        <v>0.1</v>
      </c>
      <c r="C782" s="3">
        <f t="shared" si="157"/>
        <v>0.39992209241509108</v>
      </c>
      <c r="D782" s="3"/>
      <c r="E782" s="3"/>
      <c r="F782" s="3"/>
      <c r="G782" s="3">
        <f t="shared" si="153"/>
        <v>0.39397558131605265</v>
      </c>
      <c r="H782" s="3"/>
      <c r="I782" s="3"/>
      <c r="J782" s="3"/>
      <c r="K782" s="3"/>
      <c r="L782" s="3"/>
      <c r="M782" s="3"/>
      <c r="T782" s="3">
        <f t="shared" si="154"/>
        <v>0.2</v>
      </c>
      <c r="U782" s="3">
        <f t="shared" si="155"/>
        <v>0.3999223591160998</v>
      </c>
      <c r="V782" s="3"/>
      <c r="W782" s="3"/>
      <c r="X782" s="3"/>
      <c r="Y782" s="3">
        <f t="shared" si="156"/>
        <v>0.39378199711683437</v>
      </c>
      <c r="Z782" s="3"/>
      <c r="AA782" s="3"/>
      <c r="AB782" s="3"/>
      <c r="AC782" s="3"/>
      <c r="AD782" s="3"/>
      <c r="AE782" s="3"/>
    </row>
    <row r="783" spans="2:31" x14ac:dyDescent="0.3">
      <c r="B783" s="3">
        <f>$B$8</f>
        <v>0.1</v>
      </c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T783" s="3">
        <f t="shared" si="154"/>
        <v>0.2</v>
      </c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 spans="2:31" x14ac:dyDescent="0.3">
      <c r="B784" s="3">
        <f>$B$9</f>
        <v>0.1</v>
      </c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T784" s="3">
        <f t="shared" si="154"/>
        <v>0.2</v>
      </c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 spans="1:31" x14ac:dyDescent="0.3">
      <c r="B785" s="3">
        <f>$B$10</f>
        <v>0.1</v>
      </c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T785" s="3">
        <f t="shared" si="154"/>
        <v>0.2</v>
      </c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 spans="1:31" x14ac:dyDescent="0.3">
      <c r="B786" s="3">
        <f>$B$11</f>
        <v>0.1</v>
      </c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T786" s="3">
        <f t="shared" si="154"/>
        <v>0.2</v>
      </c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8" spans="1:31" x14ac:dyDescent="0.3">
      <c r="A788" s="4" t="s">
        <v>7</v>
      </c>
      <c r="B788" s="5">
        <f>E779 * (1 - E779) * (G779 * F788 + G781 * F789)</f>
        <v>-7.2837182844819181E-5</v>
      </c>
      <c r="C788" s="6"/>
      <c r="D788" s="6"/>
      <c r="E788" s="7"/>
      <c r="F788" s="5">
        <f>I779 * (1 - I779) * K779 *J788</f>
        <v>7.7129001802814633E-3</v>
      </c>
      <c r="G788" s="6"/>
      <c r="H788" s="6"/>
      <c r="I788" s="7"/>
      <c r="J788" s="5">
        <f>$P$18 - M779</f>
        <v>-7.4059691470611089E-2</v>
      </c>
      <c r="K788" s="6"/>
      <c r="L788" s="6"/>
      <c r="M788" s="7"/>
      <c r="S788" s="4" t="s">
        <v>7</v>
      </c>
      <c r="T788" s="5">
        <f>W779 * (1 - W779) * (Y779 * X788 + Y781 * X789)</f>
        <v>2.4204593286120394E-5</v>
      </c>
      <c r="U788" s="6"/>
      <c r="V788" s="6"/>
      <c r="W788" s="7"/>
      <c r="X788" s="5">
        <f>AA779 * (1 - AA779) * AC779 *AB788</f>
        <v>-3.037814693215271E-3</v>
      </c>
      <c r="Y788" s="6"/>
      <c r="Z788" s="6"/>
      <c r="AA788" s="7"/>
      <c r="AB788" s="5">
        <f>$P$19 - AE779</f>
        <v>2.8108463412080287E-2</v>
      </c>
      <c r="AC788" s="6"/>
      <c r="AD788" s="6"/>
      <c r="AE788" s="7"/>
    </row>
    <row r="789" spans="1:31" x14ac:dyDescent="0.3">
      <c r="B789" s="5">
        <f>E780 * (1 - E780) * (G780 * F788 + G782 * F789)</f>
        <v>2.6670100871944136E-5</v>
      </c>
      <c r="C789" s="6"/>
      <c r="D789" s="6"/>
      <c r="E789" s="7"/>
      <c r="F789" s="5">
        <f>J780 * (1 - J780) * K780 * J788</f>
        <v>-3.7408372263529922E-3</v>
      </c>
      <c r="G789" s="6"/>
      <c r="H789" s="6"/>
      <c r="I789" s="7"/>
      <c r="T789" s="5">
        <f>W780 * (1 - W780) * (Y780 * X788 + Y782 * X789)</f>
        <v>-1.6305841265231824E-5</v>
      </c>
      <c r="U789" s="6"/>
      <c r="V789" s="6"/>
      <c r="W789" s="7"/>
      <c r="X789" s="5">
        <f>AB780 * (1 - AB780) * AC780 * AB788</f>
        <v>1.4175622095132048E-3</v>
      </c>
      <c r="Y789" s="6"/>
      <c r="Z789" s="6"/>
      <c r="AA789" s="7"/>
    </row>
    <row r="791" spans="1:31" x14ac:dyDescent="0.3">
      <c r="B791" s="8" t="s">
        <v>4</v>
      </c>
      <c r="C791" s="8"/>
      <c r="D791" s="8"/>
      <c r="E791" s="8"/>
      <c r="F791" s="8" t="s">
        <v>5</v>
      </c>
      <c r="G791" s="8"/>
      <c r="H791" s="8"/>
      <c r="I791" s="8"/>
      <c r="J791" s="8" t="s">
        <v>6</v>
      </c>
      <c r="K791" s="8"/>
      <c r="L791" s="8"/>
      <c r="M791" s="8"/>
      <c r="T791" s="9" t="s">
        <v>4</v>
      </c>
      <c r="U791" s="10"/>
      <c r="V791" s="10"/>
      <c r="W791" s="11"/>
      <c r="X791" s="9" t="s">
        <v>5</v>
      </c>
      <c r="Y791" s="10"/>
      <c r="Z791" s="10"/>
      <c r="AA791" s="11"/>
      <c r="AB791" s="9" t="s">
        <v>6</v>
      </c>
      <c r="AC791" s="10"/>
      <c r="AD791" s="10"/>
      <c r="AE791" s="11"/>
    </row>
    <row r="792" spans="1:31" x14ac:dyDescent="0.3"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T792" s="12"/>
      <c r="U792" s="13"/>
      <c r="V792" s="13"/>
      <c r="W792" s="14"/>
      <c r="X792" s="12"/>
      <c r="Y792" s="13"/>
      <c r="Z792" s="13"/>
      <c r="AA792" s="14"/>
      <c r="AB792" s="12"/>
      <c r="AC792" s="13"/>
      <c r="AD792" s="13"/>
      <c r="AE792" s="14"/>
    </row>
    <row r="793" spans="1:31" x14ac:dyDescent="0.3">
      <c r="B793" s="3" t="s">
        <v>0</v>
      </c>
      <c r="C793" s="3" t="s">
        <v>1</v>
      </c>
      <c r="D793" s="3" t="s">
        <v>2</v>
      </c>
      <c r="E793" s="3" t="s">
        <v>3</v>
      </c>
      <c r="F793" s="3" t="s">
        <v>0</v>
      </c>
      <c r="G793" s="3" t="s">
        <v>1</v>
      </c>
      <c r="H793" s="3" t="s">
        <v>2</v>
      </c>
      <c r="I793" s="3" t="s">
        <v>3</v>
      </c>
      <c r="J793" s="3" t="s">
        <v>0</v>
      </c>
      <c r="K793" s="3" t="s">
        <v>1</v>
      </c>
      <c r="L793" s="3" t="s">
        <v>2</v>
      </c>
      <c r="M793" s="3" t="s">
        <v>3</v>
      </c>
      <c r="T793" s="3">
        <f>$O$19</f>
        <v>0.2</v>
      </c>
      <c r="U793" s="3" t="s">
        <v>1</v>
      </c>
      <c r="V793" s="3" t="s">
        <v>2</v>
      </c>
      <c r="W793" s="3" t="s">
        <v>3</v>
      </c>
      <c r="X793" s="3" t="s">
        <v>0</v>
      </c>
      <c r="Y793" s="3" t="s">
        <v>1</v>
      </c>
      <c r="Z793" s="3" t="s">
        <v>2</v>
      </c>
      <c r="AA793" s="3" t="s">
        <v>3</v>
      </c>
      <c r="AB793" s="3" t="s">
        <v>0</v>
      </c>
      <c r="AC793" s="3" t="s">
        <v>1</v>
      </c>
      <c r="AD793" s="3" t="s">
        <v>2</v>
      </c>
      <c r="AE793" s="3" t="s">
        <v>3</v>
      </c>
    </row>
    <row r="794" spans="1:31" x14ac:dyDescent="0.3">
      <c r="B794" s="3">
        <f>$B$4</f>
        <v>0.1</v>
      </c>
      <c r="C794" s="3">
        <f>C779 + $O$7 * B779 * B788</f>
        <v>9.9931538959722344E-2</v>
      </c>
      <c r="D794" s="3">
        <f>B794*C794+B795*C795</f>
        <v>2.9986307791944462E-2</v>
      </c>
      <c r="E794" s="3">
        <f>1/(1+EXP(-D794))</f>
        <v>0.50749601526832633</v>
      </c>
      <c r="F794" s="3">
        <f>E794</f>
        <v>0.50749601526832633</v>
      </c>
      <c r="G794" s="3">
        <f>G779 + $O$7 * F779 * F788</f>
        <v>0.10524658835276428</v>
      </c>
      <c r="H794" s="3">
        <f>F794*G794+F795*G795</f>
        <v>0.15966812183596915</v>
      </c>
      <c r="I794" s="3">
        <f>1/(1+EXP(-H794))</f>
        <v>0.53983244267084718</v>
      </c>
      <c r="J794" s="3">
        <f>I794</f>
        <v>0.53983244267084718</v>
      </c>
      <c r="K794" s="3">
        <f>K779 + $P$18 * J779 * J788</f>
        <v>-0.43521361941500952</v>
      </c>
      <c r="L794" s="3">
        <f>J794*K794+J795*K795</f>
        <v>-0.11253795708567829</v>
      </c>
      <c r="M794" s="3">
        <f>1/(1+EXP(-L794))</f>
        <v>0.47189516629171013</v>
      </c>
      <c r="T794" s="3">
        <f t="shared" ref="T794:T800" si="158">$O$19</f>
        <v>0.2</v>
      </c>
      <c r="U794" s="3">
        <f>U779 + $O$7 * T779 * T788</f>
        <v>9.9932023051588062E-2</v>
      </c>
      <c r="V794" s="3">
        <f>T794*U794+T795*U795</f>
        <v>5.997280922063522E-2</v>
      </c>
      <c r="W794" s="3">
        <f>1/(1+EXP(-V794))</f>
        <v>0.51498871003605662</v>
      </c>
      <c r="X794" s="3">
        <f>W794</f>
        <v>0.51498871003605662</v>
      </c>
      <c r="Y794" s="3">
        <f>Y779 + $O$7 * X779 * X788</f>
        <v>0.10509014434043813</v>
      </c>
      <c r="Z794" s="3">
        <f>X794*Y794+X795*Y795</f>
        <v>0.16387143235021673</v>
      </c>
      <c r="AA794" s="3">
        <f>1/(1+EXP(-Z794))</f>
        <v>0.54087642489915433</v>
      </c>
      <c r="AB794" s="3">
        <f>AA794</f>
        <v>0.54087642489915433</v>
      </c>
      <c r="AC794" s="3">
        <f>AC779 +  $P$19 * AB779 * AB788</f>
        <v>-0.42761143224114045</v>
      </c>
      <c r="AD794" s="3">
        <f>AB794*AC794+AB795*AC795</f>
        <v>-0.10841863395989233</v>
      </c>
      <c r="AE794" s="3">
        <f>1/(1+EXP(-AD794))</f>
        <v>0.47292186070685993</v>
      </c>
    </row>
    <row r="795" spans="1:31" x14ac:dyDescent="0.3">
      <c r="B795" s="3">
        <f>$B$5</f>
        <v>0.1</v>
      </c>
      <c r="C795" s="3">
        <f>C780 + $O$7 * B780 * B788</f>
        <v>0.19993153895972227</v>
      </c>
      <c r="D795" s="3">
        <f>B794*C796+B795*C797</f>
        <v>6.9984471823219957E-2</v>
      </c>
      <c r="E795" s="3">
        <f>1/(1+EXP(-D795))</f>
        <v>0.5174889803727647</v>
      </c>
      <c r="F795" s="3">
        <f>E795</f>
        <v>0.5174889803727647</v>
      </c>
      <c r="G795" s="3">
        <f>G780 + $O$7 * F780 * F788</f>
        <v>0.20532977832651766</v>
      </c>
      <c r="H795" s="3">
        <f>F794*G796+F795*G797</f>
        <v>0.35293219591544495</v>
      </c>
      <c r="I795" s="3">
        <f>1/(1+EXP(-H795))</f>
        <v>0.58732844773294068</v>
      </c>
      <c r="J795" s="3">
        <f>I795</f>
        <v>0.58732844773294068</v>
      </c>
      <c r="K795" s="3">
        <f>K780 + $P$18 * J780 * J789</f>
        <v>0.20840889733712384</v>
      </c>
      <c r="L795" s="3"/>
      <c r="M795" s="3"/>
      <c r="T795" s="3">
        <f t="shared" si="158"/>
        <v>0.2</v>
      </c>
      <c r="U795" s="3">
        <f>U780 + $O$7 * T780 * T788</f>
        <v>0.199932023051588</v>
      </c>
      <c r="V795" s="3">
        <f>T794*U796+T795*U797</f>
        <v>0.13996881319970977</v>
      </c>
      <c r="W795" s="3">
        <f>1/(1+EXP(-V795))</f>
        <v>0.53493518652906435</v>
      </c>
      <c r="X795" s="3">
        <f>W795</f>
        <v>0.53493518652906435</v>
      </c>
      <c r="Y795" s="3">
        <f>Y780 + $O$7 * X780 * X788</f>
        <v>0.20516727491970363</v>
      </c>
      <c r="Z795" s="3">
        <f>X794*Y796+X795*Y797</f>
        <v>0.36208247959075035</v>
      </c>
      <c r="AA795" s="3">
        <f>1/(1+EXP(-Z795))</f>
        <v>0.58954445000470979</v>
      </c>
      <c r="AB795" s="3">
        <f>AA795</f>
        <v>0.58954445000470979</v>
      </c>
      <c r="AC795" s="3">
        <f>AC780 +  $P$19 * AB780 * AB789</f>
        <v>0.20840889733712384</v>
      </c>
      <c r="AD795" s="3"/>
      <c r="AE795" s="3"/>
    </row>
    <row r="796" spans="1:31" x14ac:dyDescent="0.3">
      <c r="B796" s="3">
        <f>$B$6</f>
        <v>0.1</v>
      </c>
      <c r="C796" s="3">
        <f>C781 + $O$7 * B779 * B789</f>
        <v>0.29992235911609977</v>
      </c>
      <c r="D796" s="3"/>
      <c r="E796" s="3"/>
      <c r="F796" s="3"/>
      <c r="G796" s="3">
        <f>G781 + $O$7 * F779 * F789</f>
        <v>0.29390250810036722</v>
      </c>
      <c r="H796" s="3"/>
      <c r="I796" s="3"/>
      <c r="J796" s="3"/>
      <c r="K796" s="3"/>
      <c r="L796" s="3"/>
      <c r="M796" s="3"/>
      <c r="T796" s="3">
        <f t="shared" si="158"/>
        <v>0.2</v>
      </c>
      <c r="U796" s="3">
        <f>U781 + $O$7 * T779 * T789</f>
        <v>0.29992203299927445</v>
      </c>
      <c r="V796" s="3"/>
      <c r="W796" s="3"/>
      <c r="X796" s="3"/>
      <c r="Y796" s="3">
        <f>Y781 + $O$7 * X779 * X789</f>
        <v>0.2939755109468784</v>
      </c>
      <c r="Z796" s="3"/>
      <c r="AA796" s="3"/>
      <c r="AB796" s="3"/>
      <c r="AC796" s="3"/>
      <c r="AD796" s="3"/>
      <c r="AE796" s="3"/>
    </row>
    <row r="797" spans="1:31" x14ac:dyDescent="0.3">
      <c r="B797" s="3">
        <f>$B$7</f>
        <v>0.1</v>
      </c>
      <c r="C797" s="3">
        <f>C782 + $O$7 * B780* B789</f>
        <v>0.3999223591160998</v>
      </c>
      <c r="D797" s="3"/>
      <c r="E797" s="3"/>
      <c r="F797" s="3"/>
      <c r="G797" s="3">
        <f>G782 + $O$7 * F780* F789</f>
        <v>0.39378199711683437</v>
      </c>
      <c r="H797" s="3"/>
      <c r="I797" s="3"/>
      <c r="J797" s="3"/>
      <c r="K797" s="3"/>
      <c r="L797" s="3"/>
      <c r="M797" s="3"/>
      <c r="T797" s="3">
        <f t="shared" si="158"/>
        <v>0.2</v>
      </c>
      <c r="U797" s="3">
        <f>U782 + $O$7 * T780* T789</f>
        <v>0.39992203299927448</v>
      </c>
      <c r="V797" s="3"/>
      <c r="W797" s="3"/>
      <c r="X797" s="3"/>
      <c r="Y797" s="3">
        <f>Y782 + $O$7 * X780* X789</f>
        <v>0.39385782751193094</v>
      </c>
      <c r="Z797" s="3"/>
      <c r="AA797" s="3"/>
      <c r="AB797" s="3"/>
      <c r="AC797" s="3"/>
      <c r="AD797" s="3"/>
      <c r="AE797" s="3"/>
    </row>
    <row r="798" spans="1:31" x14ac:dyDescent="0.3">
      <c r="B798" s="3">
        <f>$B$8</f>
        <v>0.1</v>
      </c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T798" s="3">
        <f t="shared" si="158"/>
        <v>0.2</v>
      </c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 spans="1:31" x14ac:dyDescent="0.3">
      <c r="B799" s="3">
        <f>$B$9</f>
        <v>0.1</v>
      </c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T799" s="3">
        <f t="shared" si="158"/>
        <v>0.2</v>
      </c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 spans="1:31" x14ac:dyDescent="0.3">
      <c r="B800" s="3">
        <f>$B$10</f>
        <v>0.1</v>
      </c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T800" s="3">
        <f t="shared" si="158"/>
        <v>0.2</v>
      </c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 spans="2:31" x14ac:dyDescent="0.3">
      <c r="B801" s="3">
        <f>$B$11</f>
        <v>0.1</v>
      </c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T801" s="3">
        <f>$B$11</f>
        <v>0.1</v>
      </c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7" spans="2:31" x14ac:dyDescent="0.3">
      <c r="B807" s="8" t="s">
        <v>4</v>
      </c>
      <c r="C807" s="8"/>
      <c r="D807" s="8"/>
      <c r="E807" s="8"/>
      <c r="F807" s="8" t="s">
        <v>5</v>
      </c>
      <c r="G807" s="8"/>
      <c r="H807" s="8"/>
      <c r="I807" s="8"/>
      <c r="J807" s="8" t="s">
        <v>6</v>
      </c>
      <c r="K807" s="8"/>
      <c r="L807" s="8"/>
      <c r="M807" s="8"/>
      <c r="T807" s="9" t="s">
        <v>4</v>
      </c>
      <c r="U807" s="10"/>
      <c r="V807" s="10"/>
      <c r="W807" s="11"/>
      <c r="X807" s="9" t="s">
        <v>5</v>
      </c>
      <c r="Y807" s="10"/>
      <c r="Z807" s="10"/>
      <c r="AA807" s="11"/>
      <c r="AB807" s="9" t="s">
        <v>6</v>
      </c>
      <c r="AC807" s="10"/>
      <c r="AD807" s="10"/>
      <c r="AE807" s="11"/>
    </row>
    <row r="808" spans="2:31" x14ac:dyDescent="0.3"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T808" s="12"/>
      <c r="U808" s="13"/>
      <c r="V808" s="13"/>
      <c r="W808" s="14"/>
      <c r="X808" s="12"/>
      <c r="Y808" s="13"/>
      <c r="Z808" s="13"/>
      <c r="AA808" s="14"/>
      <c r="AB808" s="12"/>
      <c r="AC808" s="13"/>
      <c r="AD808" s="13"/>
      <c r="AE808" s="14"/>
    </row>
    <row r="809" spans="2:31" x14ac:dyDescent="0.3">
      <c r="B809" s="3" t="s">
        <v>0</v>
      </c>
      <c r="C809" s="3" t="s">
        <v>1</v>
      </c>
      <c r="D809" s="3" t="s">
        <v>2</v>
      </c>
      <c r="E809" s="3" t="s">
        <v>3</v>
      </c>
      <c r="F809" s="3" t="s">
        <v>0</v>
      </c>
      <c r="G809" s="3" t="s">
        <v>1</v>
      </c>
      <c r="H809" s="3" t="s">
        <v>2</v>
      </c>
      <c r="I809" s="3" t="s">
        <v>3</v>
      </c>
      <c r="J809" s="3" t="s">
        <v>0</v>
      </c>
      <c r="K809" s="3" t="s">
        <v>1</v>
      </c>
      <c r="L809" s="3" t="s">
        <v>2</v>
      </c>
      <c r="M809" s="3" t="s">
        <v>3</v>
      </c>
      <c r="T809" s="3" t="s">
        <v>0</v>
      </c>
      <c r="U809" s="3" t="s">
        <v>1</v>
      </c>
      <c r="V809" s="3" t="s">
        <v>2</v>
      </c>
      <c r="W809" s="3" t="s">
        <v>3</v>
      </c>
      <c r="X809" s="3" t="s">
        <v>0</v>
      </c>
      <c r="Y809" s="3" t="s">
        <v>1</v>
      </c>
      <c r="Z809" s="3" t="s">
        <v>2</v>
      </c>
      <c r="AA809" s="3" t="s">
        <v>3</v>
      </c>
      <c r="AB809" s="3" t="s">
        <v>0</v>
      </c>
      <c r="AC809" s="3" t="s">
        <v>1</v>
      </c>
      <c r="AD809" s="3" t="s">
        <v>2</v>
      </c>
      <c r="AE809" s="3" t="s">
        <v>3</v>
      </c>
    </row>
    <row r="810" spans="2:31" x14ac:dyDescent="0.3">
      <c r="B810" s="3">
        <f>$B$4</f>
        <v>0.1</v>
      </c>
      <c r="C810" s="3">
        <f>U794</f>
        <v>9.9932023051588062E-2</v>
      </c>
      <c r="D810" s="3">
        <f>B810*C810+B811*C811</f>
        <v>2.998640461031761E-2</v>
      </c>
      <c r="E810" s="3">
        <f>1/(1+EXP(-D810))</f>
        <v>0.50749603946747934</v>
      </c>
      <c r="F810" s="3">
        <f>E810</f>
        <v>0.50749603946747934</v>
      </c>
      <c r="G810" s="3">
        <f>Y794</f>
        <v>0.10509014434043813</v>
      </c>
      <c r="H810" s="3">
        <f>F810*G810+F811*G811</f>
        <v>0.1595046326025622</v>
      </c>
      <c r="I810" s="3">
        <f>1/(1+EXP(-H810))</f>
        <v>0.53979182949396376</v>
      </c>
      <c r="J810" s="3">
        <f>I810</f>
        <v>0.53979182949396376</v>
      </c>
      <c r="K810" s="3">
        <f>AC794</f>
        <v>-0.42761143224114045</v>
      </c>
      <c r="L810" s="3">
        <f>J810*K810+J811*K811</f>
        <v>-0.10841282951827044</v>
      </c>
      <c r="M810" s="3">
        <f>1/(1+EXP(-L810))</f>
        <v>0.47292330756152734</v>
      </c>
      <c r="T810" s="3">
        <f>$O$19</f>
        <v>0.2</v>
      </c>
      <c r="U810" s="3">
        <f>C825</f>
        <v>9.99313512036792E-2</v>
      </c>
      <c r="V810" s="3">
        <f>T810*U810+T811*U811</f>
        <v>5.9972540481471673E-2</v>
      </c>
      <c r="W810" s="3">
        <f>1/(1+EXP(-V810))</f>
        <v>0.5149886429116407</v>
      </c>
      <c r="X810" s="3">
        <f>W810</f>
        <v>0.5149886429116407</v>
      </c>
      <c r="Y810" s="3">
        <f>G825</f>
        <v>0.10548326779453691</v>
      </c>
      <c r="Z810" s="3">
        <f>X810*Y810+X811*Y811</f>
        <v>0.16428832290903359</v>
      </c>
      <c r="AA810" s="3">
        <f>1/(1+EXP(-Z810))</f>
        <v>0.54097994919822445</v>
      </c>
      <c r="AB810" s="3">
        <f>AA810</f>
        <v>0.54097994919822445</v>
      </c>
      <c r="AC810" s="3">
        <f>K825</f>
        <v>-0.44335679448169557</v>
      </c>
      <c r="AD810" s="3">
        <f>AB810*AC810+AB811*AC811</f>
        <v>-0.11699082528824689</v>
      </c>
      <c r="AE810" s="3">
        <f>1/(1+EXP(-AD810))</f>
        <v>0.47078560717156753</v>
      </c>
    </row>
    <row r="811" spans="2:31" x14ac:dyDescent="0.3">
      <c r="B811" s="3">
        <f>$B$5</f>
        <v>0.1</v>
      </c>
      <c r="C811" s="3">
        <f>U795</f>
        <v>0.199932023051588</v>
      </c>
      <c r="D811" s="3">
        <f>B810*C812+B811*C813</f>
        <v>6.9984406599854887E-2</v>
      </c>
      <c r="E811" s="3">
        <f>1/(1+EXP(-D811))</f>
        <v>0.51748896408687295</v>
      </c>
      <c r="F811" s="3">
        <f>E811</f>
        <v>0.51748896408687295</v>
      </c>
      <c r="G811" s="3">
        <f t="shared" ref="G811:G813" si="159">Y795</f>
        <v>0.20516727491970363</v>
      </c>
      <c r="H811" s="3">
        <f>F810*G812+F811*G813</f>
        <v>0.35300848666262485</v>
      </c>
      <c r="I811" s="3">
        <f>1/(1+EXP(-H811))</f>
        <v>0.58734693848363029</v>
      </c>
      <c r="J811" s="3">
        <f>I811</f>
        <v>0.58734693848363029</v>
      </c>
      <c r="K811" s="3">
        <f>AC795</f>
        <v>0.20840889733712384</v>
      </c>
      <c r="L811" s="3"/>
      <c r="M811" s="3"/>
      <c r="T811" s="3">
        <f t="shared" ref="T811:T817" si="160">$O$19</f>
        <v>0.2</v>
      </c>
      <c r="U811" s="3">
        <f t="shared" ref="U811:U813" si="161">C826</f>
        <v>0.19993135120367914</v>
      </c>
      <c r="V811" s="3">
        <f>T810*U812+T811*U813</f>
        <v>0.13996895154371436</v>
      </c>
      <c r="W811" s="3">
        <f>1/(1+EXP(-V811))</f>
        <v>0.53493522094622104</v>
      </c>
      <c r="X811" s="3">
        <f>W811</f>
        <v>0.53493522094622104</v>
      </c>
      <c r="Y811" s="3">
        <f t="shared" ref="Y811:Y813" si="162">G826</f>
        <v>0.20556813922838532</v>
      </c>
      <c r="Z811" s="3">
        <f>X810*Y812+X811*Y813</f>
        <v>0.36188423484609022</v>
      </c>
      <c r="AA811" s="3">
        <f>1/(1+EXP(-Z811))</f>
        <v>0.58949647753481027</v>
      </c>
      <c r="AB811" s="3">
        <f>AA811</f>
        <v>0.58949647753481027</v>
      </c>
      <c r="AC811" s="3">
        <f>K826</f>
        <v>0.20840889733712384</v>
      </c>
      <c r="AD811" s="3"/>
      <c r="AE811" s="3"/>
    </row>
    <row r="812" spans="2:31" x14ac:dyDescent="0.3">
      <c r="B812" s="3">
        <f>$B$6</f>
        <v>0.1</v>
      </c>
      <c r="C812" s="3">
        <f t="shared" ref="C812:C813" si="163">U796</f>
        <v>0.29992203299927445</v>
      </c>
      <c r="D812" s="3"/>
      <c r="E812" s="3"/>
      <c r="F812" s="3"/>
      <c r="G812" s="3">
        <f t="shared" si="159"/>
        <v>0.2939755109468784</v>
      </c>
      <c r="H812" s="3"/>
      <c r="I812" s="3"/>
      <c r="J812" s="3"/>
      <c r="K812" s="3"/>
      <c r="L812" s="3"/>
      <c r="M812" s="3"/>
      <c r="T812" s="3">
        <f t="shared" si="160"/>
        <v>0.2</v>
      </c>
      <c r="U812" s="3">
        <f t="shared" si="161"/>
        <v>0.29992237885928585</v>
      </c>
      <c r="V812" s="3"/>
      <c r="W812" s="3"/>
      <c r="X812" s="3"/>
      <c r="Y812" s="3">
        <f t="shared" si="162"/>
        <v>0.29378857403991221</v>
      </c>
      <c r="Z812" s="3"/>
      <c r="AA812" s="3"/>
      <c r="AB812" s="3"/>
      <c r="AC812" s="3"/>
      <c r="AD812" s="3"/>
      <c r="AE812" s="3"/>
    </row>
    <row r="813" spans="2:31" x14ac:dyDescent="0.3">
      <c r="B813" s="3">
        <f>$B$7</f>
        <v>0.1</v>
      </c>
      <c r="C813" s="3">
        <f t="shared" si="163"/>
        <v>0.39992203299927448</v>
      </c>
      <c r="D813" s="3"/>
      <c r="E813" s="3"/>
      <c r="F813" s="3"/>
      <c r="G813" s="3">
        <f t="shared" si="159"/>
        <v>0.39385782751193094</v>
      </c>
      <c r="H813" s="3"/>
      <c r="I813" s="3"/>
      <c r="J813" s="3"/>
      <c r="K813" s="3"/>
      <c r="L813" s="3"/>
      <c r="M813" s="3"/>
      <c r="T813" s="3">
        <f t="shared" si="160"/>
        <v>0.2</v>
      </c>
      <c r="U813" s="3">
        <f t="shared" si="161"/>
        <v>0.39992237885928589</v>
      </c>
      <c r="V813" s="3"/>
      <c r="W813" s="3"/>
      <c r="X813" s="3"/>
      <c r="Y813" s="3">
        <f t="shared" si="162"/>
        <v>0.3936672096965938</v>
      </c>
      <c r="Z813" s="3"/>
      <c r="AA813" s="3"/>
      <c r="AB813" s="3"/>
      <c r="AC813" s="3"/>
      <c r="AD813" s="3"/>
      <c r="AE813" s="3"/>
    </row>
    <row r="814" spans="2:31" x14ac:dyDescent="0.3">
      <c r="B814" s="3">
        <f>$B$8</f>
        <v>0.1</v>
      </c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T814" s="3">
        <f t="shared" si="160"/>
        <v>0.2</v>
      </c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 spans="2:31" x14ac:dyDescent="0.3">
      <c r="B815" s="3">
        <f>$B$9</f>
        <v>0.1</v>
      </c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T815" s="3">
        <f t="shared" si="160"/>
        <v>0.2</v>
      </c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 spans="2:31" x14ac:dyDescent="0.3">
      <c r="B816" s="3">
        <f>$B$10</f>
        <v>0.1</v>
      </c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T816" s="3">
        <f t="shared" si="160"/>
        <v>0.2</v>
      </c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 spans="1:31" x14ac:dyDescent="0.3">
      <c r="B817" s="3">
        <f>$B$11</f>
        <v>0.1</v>
      </c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T817" s="3">
        <f t="shared" si="160"/>
        <v>0.2</v>
      </c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9" spans="1:31" x14ac:dyDescent="0.3">
      <c r="A819" s="4" t="s">
        <v>7</v>
      </c>
      <c r="B819" s="5">
        <f>E810 * (1 - E810) * (G810 * F819 + G812 * F820)</f>
        <v>-6.7184790886383876E-5</v>
      </c>
      <c r="C819" s="6"/>
      <c r="D819" s="6"/>
      <c r="E819" s="7"/>
      <c r="F819" s="5">
        <f>I810 * (1 - I810) * K810 *J819</f>
        <v>7.7463354100515578E-3</v>
      </c>
      <c r="G819" s="6"/>
      <c r="H819" s="6"/>
      <c r="I819" s="7"/>
      <c r="J819" s="5">
        <f>$P$18 - M810</f>
        <v>-7.2923307561527317E-2</v>
      </c>
      <c r="K819" s="6"/>
      <c r="L819" s="6"/>
      <c r="M819" s="7"/>
      <c r="S819" s="4" t="s">
        <v>7</v>
      </c>
      <c r="T819" s="5">
        <f>W810 * (1 - W810) * (Y810 * X819 + Y812 * X820)</f>
        <v>2.3375913478593703E-5</v>
      </c>
      <c r="U819" s="6"/>
      <c r="V819" s="6"/>
      <c r="W819" s="7"/>
      <c r="X819" s="5">
        <f>AA810 * (1 - AA810) * AC810 *AB819</f>
        <v>-3.216348196314518E-3</v>
      </c>
      <c r="Y819" s="6"/>
      <c r="Z819" s="6"/>
      <c r="AA819" s="7"/>
      <c r="AB819" s="5">
        <f>$P$19 - AE810</f>
        <v>2.9214392828432467E-2</v>
      </c>
      <c r="AC819" s="6"/>
      <c r="AD819" s="6"/>
      <c r="AE819" s="7"/>
    </row>
    <row r="820" spans="1:31" x14ac:dyDescent="0.3">
      <c r="B820" s="5">
        <f>E811 * (1 - E811) * (G811 * F819 + G813 * F820)</f>
        <v>3.4586001142071359E-5</v>
      </c>
      <c r="C820" s="6"/>
      <c r="D820" s="6"/>
      <c r="E820" s="7"/>
      <c r="F820" s="5">
        <f>J811 * (1 - J811) * K811 * J819</f>
        <v>-3.6835145977172231E-3</v>
      </c>
      <c r="G820" s="6"/>
      <c r="H820" s="6"/>
      <c r="I820" s="7"/>
      <c r="T820" s="5">
        <f>W811 * (1 - W811) * (Y811 * X819 + Y813 * X820)</f>
        <v>-2.0191458705734102E-5</v>
      </c>
      <c r="U820" s="6"/>
      <c r="V820" s="6"/>
      <c r="W820" s="7"/>
      <c r="X820" s="5">
        <f>AB811 * (1 - AB811) * AC811 * AB819</f>
        <v>1.4733679651200541E-3</v>
      </c>
      <c r="Y820" s="6"/>
      <c r="Z820" s="6"/>
      <c r="AA820" s="7"/>
    </row>
    <row r="822" spans="1:31" x14ac:dyDescent="0.3">
      <c r="B822" s="8" t="s">
        <v>4</v>
      </c>
      <c r="C822" s="8"/>
      <c r="D822" s="8"/>
      <c r="E822" s="8"/>
      <c r="F822" s="8" t="s">
        <v>5</v>
      </c>
      <c r="G822" s="8"/>
      <c r="H822" s="8"/>
      <c r="I822" s="8"/>
      <c r="J822" s="8" t="s">
        <v>6</v>
      </c>
      <c r="K822" s="8"/>
      <c r="L822" s="8"/>
      <c r="M822" s="8"/>
      <c r="T822" s="9" t="s">
        <v>4</v>
      </c>
      <c r="U822" s="10"/>
      <c r="V822" s="10"/>
      <c r="W822" s="11"/>
      <c r="X822" s="9" t="s">
        <v>5</v>
      </c>
      <c r="Y822" s="10"/>
      <c r="Z822" s="10"/>
      <c r="AA822" s="11"/>
      <c r="AB822" s="9" t="s">
        <v>6</v>
      </c>
      <c r="AC822" s="10"/>
      <c r="AD822" s="10"/>
      <c r="AE822" s="11"/>
    </row>
    <row r="823" spans="1:31" x14ac:dyDescent="0.3"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T823" s="12"/>
      <c r="U823" s="13"/>
      <c r="V823" s="13"/>
      <c r="W823" s="14"/>
      <c r="X823" s="12"/>
      <c r="Y823" s="13"/>
      <c r="Z823" s="13"/>
      <c r="AA823" s="14"/>
      <c r="AB823" s="12"/>
      <c r="AC823" s="13"/>
      <c r="AD823" s="13"/>
      <c r="AE823" s="14"/>
    </row>
    <row r="824" spans="1:31" x14ac:dyDescent="0.3">
      <c r="B824" s="3" t="s">
        <v>0</v>
      </c>
      <c r="C824" s="3" t="s">
        <v>1</v>
      </c>
      <c r="D824" s="3" t="s">
        <v>2</v>
      </c>
      <c r="E824" s="3" t="s">
        <v>3</v>
      </c>
      <c r="F824" s="3" t="s">
        <v>0</v>
      </c>
      <c r="G824" s="3" t="s">
        <v>1</v>
      </c>
      <c r="H824" s="3" t="s">
        <v>2</v>
      </c>
      <c r="I824" s="3" t="s">
        <v>3</v>
      </c>
      <c r="J824" s="3" t="s">
        <v>0</v>
      </c>
      <c r="K824" s="3" t="s">
        <v>1</v>
      </c>
      <c r="L824" s="3" t="s">
        <v>2</v>
      </c>
      <c r="M824" s="3" t="s">
        <v>3</v>
      </c>
      <c r="T824" s="3">
        <f>$O$19</f>
        <v>0.2</v>
      </c>
      <c r="U824" s="3" t="s">
        <v>1</v>
      </c>
      <c r="V824" s="3" t="s">
        <v>2</v>
      </c>
      <c r="W824" s="3" t="s">
        <v>3</v>
      </c>
      <c r="X824" s="3" t="s">
        <v>0</v>
      </c>
      <c r="Y824" s="3" t="s">
        <v>1</v>
      </c>
      <c r="Z824" s="3" t="s">
        <v>2</v>
      </c>
      <c r="AA824" s="3" t="s">
        <v>3</v>
      </c>
      <c r="AB824" s="3" t="s">
        <v>0</v>
      </c>
      <c r="AC824" s="3" t="s">
        <v>1</v>
      </c>
      <c r="AD824" s="3" t="s">
        <v>2</v>
      </c>
      <c r="AE824" s="3" t="s">
        <v>3</v>
      </c>
    </row>
    <row r="825" spans="1:31" x14ac:dyDescent="0.3">
      <c r="B825" s="3">
        <f>$B$4</f>
        <v>0.1</v>
      </c>
      <c r="C825" s="3">
        <f>C810 + $O$7 * B810 * B819</f>
        <v>9.99313512036792E-2</v>
      </c>
      <c r="D825" s="3">
        <f>B825*C825+B826*C826</f>
        <v>2.9986270240735836E-2</v>
      </c>
      <c r="E825" s="3">
        <f>1/(1+EXP(-D825))</f>
        <v>0.50749600588263422</v>
      </c>
      <c r="F825" s="3">
        <f>E825</f>
        <v>0.50749600588263422</v>
      </c>
      <c r="G825" s="3">
        <f>G810 + $O$7 * F810 * F819</f>
        <v>0.10548326779453691</v>
      </c>
      <c r="H825" s="3">
        <f>F825*G825+F826*G826</f>
        <v>0.15991158406227968</v>
      </c>
      <c r="I825" s="3">
        <f>1/(1+EXP(-H825))</f>
        <v>0.53989292135773526</v>
      </c>
      <c r="J825" s="3">
        <f>I825</f>
        <v>0.53989292135773526</v>
      </c>
      <c r="K825" s="3">
        <f>K810 + $P$18 * J810 * J819</f>
        <v>-0.44335679448169557</v>
      </c>
      <c r="L825" s="3">
        <f>J825*K825+J826*K826</f>
        <v>-0.1169666422222026</v>
      </c>
      <c r="M825" s="3">
        <f>1/(1+EXP(-L825))</f>
        <v>0.47079163230255372</v>
      </c>
      <c r="T825" s="3">
        <f t="shared" ref="T825:T831" si="164">$O$19</f>
        <v>0.2</v>
      </c>
      <c r="U825" s="3">
        <f>U810 + $O$7 * T810 * T819</f>
        <v>9.993181872194877E-2</v>
      </c>
      <c r="V825" s="3">
        <f>T825*U825+T826*U826</f>
        <v>5.9972727488779493E-2</v>
      </c>
      <c r="W825" s="3">
        <f>1/(1+EXP(-V825))</f>
        <v>0.51498868962145461</v>
      </c>
      <c r="X825" s="3">
        <f>W825</f>
        <v>0.51498868962145461</v>
      </c>
      <c r="Y825" s="3">
        <f>Y810 + $O$7 * X810 * X819</f>
        <v>0.10531762951526179</v>
      </c>
      <c r="Z825" s="3">
        <f>X825*Y825+X826*Y826</f>
        <v>0.16411098010780639</v>
      </c>
      <c r="AA825" s="3">
        <f>1/(1+EXP(-Z825))</f>
        <v>0.54093591099972471</v>
      </c>
      <c r="AB825" s="3">
        <f>AA825</f>
        <v>0.54093591099972471</v>
      </c>
      <c r="AC825" s="3">
        <f>AC810 +  $P$19 * AB810 * AB819</f>
        <v>-0.4354545941076044</v>
      </c>
      <c r="AD825" s="3">
        <f>AB825*AC825+AB826*AC826</f>
        <v>-0.11269261981253413</v>
      </c>
      <c r="AE825" s="3">
        <f>1/(1+EXP(-AD825))</f>
        <v>0.47185662294286623</v>
      </c>
    </row>
    <row r="826" spans="1:31" x14ac:dyDescent="0.3">
      <c r="B826" s="3">
        <f>$B$5</f>
        <v>0.1</v>
      </c>
      <c r="C826" s="3">
        <f>C811 + $O$7 * B811 * B819</f>
        <v>0.19993135120367914</v>
      </c>
      <c r="D826" s="3">
        <f>B825*C827+B826*C828</f>
        <v>6.998447577185718E-2</v>
      </c>
      <c r="E826" s="3">
        <f>1/(1+EXP(-D826))</f>
        <v>0.51748898135871635</v>
      </c>
      <c r="F826" s="3">
        <f>E826</f>
        <v>0.51748898135871635</v>
      </c>
      <c r="G826" s="3">
        <f>G811 + $O$7 * F811 * F819</f>
        <v>0.20556813922838532</v>
      </c>
      <c r="H826" s="3">
        <f>F825*G827+F826*G828</f>
        <v>0.35281497123942851</v>
      </c>
      <c r="I826" s="3">
        <f>1/(1+EXP(-H826))</f>
        <v>0.587300035258707</v>
      </c>
      <c r="J826" s="3">
        <f>I826</f>
        <v>0.587300035258707</v>
      </c>
      <c r="K826" s="3">
        <f>K811 + $P$18 * J811 * J820</f>
        <v>0.20840889733712384</v>
      </c>
      <c r="L826" s="3"/>
      <c r="M826" s="3"/>
      <c r="T826" s="3">
        <f t="shared" si="164"/>
        <v>0.2</v>
      </c>
      <c r="U826" s="3">
        <f>U811 + $O$7 * T811 * T819</f>
        <v>0.19993181872194871</v>
      </c>
      <c r="V826" s="3">
        <f>T825*U827+T826*U828</f>
        <v>0.13996879001204471</v>
      </c>
      <c r="W826" s="3">
        <f>1/(1+EXP(-V826))</f>
        <v>0.53493518076044788</v>
      </c>
      <c r="X826" s="3">
        <f>W826</f>
        <v>0.53493518076044788</v>
      </c>
      <c r="Y826" s="3">
        <f>Y811 + $O$7 * X811 * X819</f>
        <v>0.20539608543508178</v>
      </c>
      <c r="Z826" s="3">
        <f>X825*Y827+X826*Y828</f>
        <v>0.36196546969057086</v>
      </c>
      <c r="AA826" s="3">
        <f>1/(1+EXP(-Z826))</f>
        <v>0.58951613544280823</v>
      </c>
      <c r="AB826" s="3">
        <f>AA826</f>
        <v>0.58951613544280823</v>
      </c>
      <c r="AC826" s="3">
        <f>AC811 +  $P$19 * AB811 * AB820</f>
        <v>0.20840889733712384</v>
      </c>
      <c r="AD826" s="3"/>
      <c r="AE826" s="3"/>
    </row>
    <row r="827" spans="1:31" x14ac:dyDescent="0.3">
      <c r="B827" s="3">
        <f>$B$6</f>
        <v>0.1</v>
      </c>
      <c r="C827" s="3">
        <f>C812 + $O$7 * B810 * B820</f>
        <v>0.29992237885928585</v>
      </c>
      <c r="D827" s="3"/>
      <c r="E827" s="3"/>
      <c r="F827" s="3"/>
      <c r="G827" s="3">
        <f>G812 + $O$7 * F810 * F820</f>
        <v>0.29378857403991221</v>
      </c>
      <c r="H827" s="3"/>
      <c r="I827" s="3"/>
      <c r="J827" s="3"/>
      <c r="K827" s="3"/>
      <c r="L827" s="3"/>
      <c r="M827" s="3"/>
      <c r="T827" s="3">
        <f t="shared" si="164"/>
        <v>0.2</v>
      </c>
      <c r="U827" s="3">
        <f>U812 + $O$7 * T810 * T820</f>
        <v>0.29992197503011175</v>
      </c>
      <c r="V827" s="3"/>
      <c r="W827" s="3"/>
      <c r="X827" s="3"/>
      <c r="Y827" s="3">
        <f>Y812 + $O$7 * X810 * X820</f>
        <v>0.29386445081679885</v>
      </c>
      <c r="Z827" s="3"/>
      <c r="AA827" s="3"/>
      <c r="AB827" s="3"/>
      <c r="AC827" s="3"/>
      <c r="AD827" s="3"/>
      <c r="AE827" s="3"/>
    </row>
    <row r="828" spans="1:31" x14ac:dyDescent="0.3">
      <c r="B828" s="3">
        <f>$B$7</f>
        <v>0.1</v>
      </c>
      <c r="C828" s="3">
        <f>C813 + $O$7 * B811* B820</f>
        <v>0.39992237885928589</v>
      </c>
      <c r="D828" s="3"/>
      <c r="E828" s="3"/>
      <c r="F828" s="3"/>
      <c r="G828" s="3">
        <f>G813 + $O$7 * F811* F820</f>
        <v>0.3936672096965938</v>
      </c>
      <c r="H828" s="3"/>
      <c r="I828" s="3"/>
      <c r="J828" s="3"/>
      <c r="K828" s="3"/>
      <c r="L828" s="3"/>
      <c r="M828" s="3"/>
      <c r="T828" s="3">
        <f t="shared" si="164"/>
        <v>0.2</v>
      </c>
      <c r="U828" s="3">
        <f>U813 + $O$7 * T811* T820</f>
        <v>0.39992197503011179</v>
      </c>
      <c r="V828" s="3"/>
      <c r="W828" s="3"/>
      <c r="X828" s="3"/>
      <c r="Y828" s="3">
        <f>Y813 + $O$7 * X811* X820</f>
        <v>0.39374602533838948</v>
      </c>
      <c r="Z828" s="3"/>
      <c r="AA828" s="3"/>
      <c r="AB828" s="3"/>
      <c r="AC828" s="3"/>
      <c r="AD828" s="3"/>
      <c r="AE828" s="3"/>
    </row>
    <row r="829" spans="1:31" x14ac:dyDescent="0.3">
      <c r="B829" s="3">
        <f>$B$8</f>
        <v>0.1</v>
      </c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T829" s="3">
        <f t="shared" si="164"/>
        <v>0.2</v>
      </c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 spans="1:31" x14ac:dyDescent="0.3">
      <c r="B830" s="3">
        <f>$B$9</f>
        <v>0.1</v>
      </c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T830" s="3">
        <f t="shared" si="164"/>
        <v>0.2</v>
      </c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 spans="1:31" x14ac:dyDescent="0.3">
      <c r="B831" s="3">
        <f>$B$10</f>
        <v>0.1</v>
      </c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T831" s="3">
        <f t="shared" si="164"/>
        <v>0.2</v>
      </c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 spans="1:31" x14ac:dyDescent="0.3">
      <c r="B832" s="3">
        <f>$B$11</f>
        <v>0.1</v>
      </c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T832" s="3">
        <f>$B$11</f>
        <v>0.1</v>
      </c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8" spans="2:31" x14ac:dyDescent="0.3">
      <c r="B838" s="8" t="s">
        <v>4</v>
      </c>
      <c r="C838" s="8"/>
      <c r="D838" s="8"/>
      <c r="E838" s="8"/>
      <c r="F838" s="8" t="s">
        <v>5</v>
      </c>
      <c r="G838" s="8"/>
      <c r="H838" s="8"/>
      <c r="I838" s="8"/>
      <c r="J838" s="8" t="s">
        <v>6</v>
      </c>
      <c r="K838" s="8"/>
      <c r="L838" s="8"/>
      <c r="M838" s="8"/>
      <c r="T838" s="9" t="s">
        <v>4</v>
      </c>
      <c r="U838" s="10"/>
      <c r="V838" s="10"/>
      <c r="W838" s="11"/>
      <c r="X838" s="9" t="s">
        <v>5</v>
      </c>
      <c r="Y838" s="10"/>
      <c r="Z838" s="10"/>
      <c r="AA838" s="11"/>
      <c r="AB838" s="9" t="s">
        <v>6</v>
      </c>
      <c r="AC838" s="10"/>
      <c r="AD838" s="10"/>
      <c r="AE838" s="11"/>
    </row>
    <row r="839" spans="2:31" x14ac:dyDescent="0.3"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T839" s="12"/>
      <c r="U839" s="13"/>
      <c r="V839" s="13"/>
      <c r="W839" s="14"/>
      <c r="X839" s="12"/>
      <c r="Y839" s="13"/>
      <c r="Z839" s="13"/>
      <c r="AA839" s="14"/>
      <c r="AB839" s="12"/>
      <c r="AC839" s="13"/>
      <c r="AD839" s="13"/>
      <c r="AE839" s="14"/>
    </row>
    <row r="840" spans="2:31" x14ac:dyDescent="0.3">
      <c r="B840" s="3" t="s">
        <v>0</v>
      </c>
      <c r="C840" s="3" t="s">
        <v>1</v>
      </c>
      <c r="D840" s="3" t="s">
        <v>2</v>
      </c>
      <c r="E840" s="3" t="s">
        <v>3</v>
      </c>
      <c r="F840" s="3" t="s">
        <v>0</v>
      </c>
      <c r="G840" s="3" t="s">
        <v>1</v>
      </c>
      <c r="H840" s="3" t="s">
        <v>2</v>
      </c>
      <c r="I840" s="3" t="s">
        <v>3</v>
      </c>
      <c r="J840" s="3" t="s">
        <v>0</v>
      </c>
      <c r="K840" s="3" t="s">
        <v>1</v>
      </c>
      <c r="L840" s="3" t="s">
        <v>2</v>
      </c>
      <c r="M840" s="3" t="s">
        <v>3</v>
      </c>
      <c r="T840" s="3" t="s">
        <v>0</v>
      </c>
      <c r="U840" s="3" t="s">
        <v>1</v>
      </c>
      <c r="V840" s="3" t="s">
        <v>2</v>
      </c>
      <c r="W840" s="3" t="s">
        <v>3</v>
      </c>
      <c r="X840" s="3" t="s">
        <v>0</v>
      </c>
      <c r="Y840" s="3" t="s">
        <v>1</v>
      </c>
      <c r="Z840" s="3" t="s">
        <v>2</v>
      </c>
      <c r="AA840" s="3" t="s">
        <v>3</v>
      </c>
      <c r="AB840" s="3" t="s">
        <v>0</v>
      </c>
      <c r="AC840" s="3" t="s">
        <v>1</v>
      </c>
      <c r="AD840" s="3" t="s">
        <v>2</v>
      </c>
      <c r="AE840" s="3" t="s">
        <v>3</v>
      </c>
    </row>
    <row r="841" spans="2:31" x14ac:dyDescent="0.3">
      <c r="B841" s="3">
        <f>$B$4</f>
        <v>0.1</v>
      </c>
      <c r="C841" s="3">
        <f>U825</f>
        <v>9.993181872194877E-2</v>
      </c>
      <c r="D841" s="3">
        <f>B841*C841+B842*C842</f>
        <v>2.9986363744389746E-2</v>
      </c>
      <c r="E841" s="3">
        <f>1/(1+EXP(-D841))</f>
        <v>0.50749602925329362</v>
      </c>
      <c r="F841" s="3">
        <f>E841</f>
        <v>0.50749602925329362</v>
      </c>
      <c r="G841" s="3">
        <f>Y825</f>
        <v>0.10531762951526179</v>
      </c>
      <c r="H841" s="3">
        <f>F841*G841+F842*G842</f>
        <v>0.15973848567406057</v>
      </c>
      <c r="I841" s="3">
        <f>1/(1+EXP(-H841))</f>
        <v>0.53984992194045434</v>
      </c>
      <c r="J841" s="3">
        <f>I841</f>
        <v>0.53984992194045434</v>
      </c>
      <c r="K841" s="3">
        <f>AC825</f>
        <v>-0.4354545941076044</v>
      </c>
      <c r="L841" s="3">
        <f>J841*K841+J842*K842</f>
        <v>-0.11267757054866986</v>
      </c>
      <c r="M841" s="3">
        <f>1/(1+EXP(-L841))</f>
        <v>0.47186037334065611</v>
      </c>
      <c r="T841" s="3">
        <f>$O$19</f>
        <v>0.2</v>
      </c>
      <c r="U841" s="3">
        <f>C856</f>
        <v>9.9931198779184022E-2</v>
      </c>
      <c r="V841" s="3">
        <f>T841*U841+T842*U842</f>
        <v>5.9972479511673595E-2</v>
      </c>
      <c r="W841" s="3">
        <f>1/(1+EXP(-V841))</f>
        <v>0.51498862768288867</v>
      </c>
      <c r="X841" s="3">
        <f>W841</f>
        <v>0.51498862768288867</v>
      </c>
      <c r="Y841" s="3">
        <f>G856</f>
        <v>0.10571212091306485</v>
      </c>
      <c r="Z841" s="3">
        <f>X841*Y841+X842*Y842</f>
        <v>0.16452932332017045</v>
      </c>
      <c r="AA841" s="3">
        <f>1/(1+EXP(-Z841))</f>
        <v>0.54103979398413748</v>
      </c>
      <c r="AB841" s="3">
        <f>AA841</f>
        <v>0.54103979398413748</v>
      </c>
      <c r="AC841" s="3">
        <f>K856</f>
        <v>-0.45097212088303046</v>
      </c>
      <c r="AD841" s="3">
        <f>AB841*AC841+AB842*AC842</f>
        <v>-0.12114330797018413</v>
      </c>
      <c r="AE841" s="3">
        <f>1/(1+EXP(-AD841))</f>
        <v>0.46975115754295987</v>
      </c>
    </row>
    <row r="842" spans="2:31" x14ac:dyDescent="0.3">
      <c r="B842" s="3">
        <f>$B$5</f>
        <v>0.1</v>
      </c>
      <c r="C842" s="3">
        <f>U826</f>
        <v>0.19993181872194871</v>
      </c>
      <c r="D842" s="3">
        <f>B841*C843+B842*C844</f>
        <v>6.9984395006022354E-2</v>
      </c>
      <c r="E842" s="3">
        <f>1/(1+EXP(-D842))</f>
        <v>0.51748896119196097</v>
      </c>
      <c r="F842" s="3">
        <f>E842</f>
        <v>0.51748896119196097</v>
      </c>
      <c r="G842" s="3">
        <f t="shared" ref="G842:G844" si="165">Y826</f>
        <v>0.20539608543508178</v>
      </c>
      <c r="H842" s="3">
        <f>F841*G843+F842*G844</f>
        <v>0.35289426355405196</v>
      </c>
      <c r="I842" s="3">
        <f>1/(1+EXP(-H842))</f>
        <v>0.58731925389410455</v>
      </c>
      <c r="J842" s="3">
        <f>I842</f>
        <v>0.58731925389410455</v>
      </c>
      <c r="K842" s="3">
        <f>AC826</f>
        <v>0.20840889733712384</v>
      </c>
      <c r="L842" s="3"/>
      <c r="M842" s="3"/>
      <c r="T842" s="3">
        <f t="shared" ref="T842:T848" si="166">$O$19</f>
        <v>0.2</v>
      </c>
      <c r="U842" s="3">
        <f t="shared" ref="U842:U844" si="167">C857</f>
        <v>0.19993119877918394</v>
      </c>
      <c r="V842" s="3">
        <f>T841*U843+T842*U844</f>
        <v>0.13996895715362573</v>
      </c>
      <c r="W842" s="3">
        <f>1/(1+EXP(-V842))</f>
        <v>0.53493522234185209</v>
      </c>
      <c r="X842" s="3">
        <f>W842</f>
        <v>0.53493522234185209</v>
      </c>
      <c r="Y842" s="3">
        <f t="shared" ref="Y842:Y844" si="168">G857</f>
        <v>0.20579834462900817</v>
      </c>
      <c r="Z842" s="3">
        <f>X841*Y843+X842*Y844</f>
        <v>0.36177011493840594</v>
      </c>
      <c r="AA842" s="3">
        <f>1/(1+EXP(-Z842))</f>
        <v>0.58946886133290266</v>
      </c>
      <c r="AB842" s="3">
        <f>AA842</f>
        <v>0.58946886133290266</v>
      </c>
      <c r="AC842" s="3">
        <f>K857</f>
        <v>0.20840889733712384</v>
      </c>
      <c r="AD842" s="3"/>
      <c r="AE842" s="3"/>
    </row>
    <row r="843" spans="2:31" x14ac:dyDescent="0.3">
      <c r="B843" s="3">
        <f>$B$6</f>
        <v>0.1</v>
      </c>
      <c r="C843" s="3">
        <f t="shared" ref="C843:C844" si="169">U827</f>
        <v>0.29992197503011175</v>
      </c>
      <c r="D843" s="3"/>
      <c r="E843" s="3"/>
      <c r="F843" s="3"/>
      <c r="G843" s="3">
        <f t="shared" si="165"/>
        <v>0.29386445081679885</v>
      </c>
      <c r="H843" s="3"/>
      <c r="I843" s="3"/>
      <c r="J843" s="3"/>
      <c r="K843" s="3"/>
      <c r="L843" s="3"/>
      <c r="M843" s="3"/>
      <c r="T843" s="3">
        <f t="shared" si="166"/>
        <v>0.2</v>
      </c>
      <c r="U843" s="3">
        <f t="shared" si="167"/>
        <v>0.29992239288406425</v>
      </c>
      <c r="V843" s="3"/>
      <c r="W843" s="3"/>
      <c r="X843" s="3"/>
      <c r="Y843" s="3">
        <f t="shared" si="168"/>
        <v>0.29368023504114366</v>
      </c>
      <c r="Z843" s="3"/>
      <c r="AA843" s="3"/>
      <c r="AB843" s="3"/>
      <c r="AC843" s="3"/>
      <c r="AD843" s="3"/>
      <c r="AE843" s="3"/>
    </row>
    <row r="844" spans="2:31" x14ac:dyDescent="0.3">
      <c r="B844" s="3">
        <f>$B$7</f>
        <v>0.1</v>
      </c>
      <c r="C844" s="3">
        <f t="shared" si="169"/>
        <v>0.39992197503011179</v>
      </c>
      <c r="D844" s="3"/>
      <c r="E844" s="3"/>
      <c r="F844" s="3"/>
      <c r="G844" s="3">
        <f t="shared" si="165"/>
        <v>0.39374602533838948</v>
      </c>
      <c r="H844" s="3"/>
      <c r="I844" s="3"/>
      <c r="J844" s="3"/>
      <c r="K844" s="3"/>
      <c r="L844" s="3"/>
      <c r="M844" s="3"/>
      <c r="T844" s="3">
        <f t="shared" si="166"/>
        <v>0.2</v>
      </c>
      <c r="U844" s="3">
        <f t="shared" si="167"/>
        <v>0.39992239288406428</v>
      </c>
      <c r="V844" s="3"/>
      <c r="W844" s="3"/>
      <c r="X844" s="3"/>
      <c r="Y844" s="3">
        <f t="shared" si="168"/>
        <v>0.39355818223246564</v>
      </c>
      <c r="Z844" s="3"/>
      <c r="AA844" s="3"/>
      <c r="AB844" s="3"/>
      <c r="AC844" s="3"/>
      <c r="AD844" s="3"/>
      <c r="AE844" s="3"/>
    </row>
    <row r="845" spans="2:31" x14ac:dyDescent="0.3">
      <c r="B845" s="3">
        <f>$B$8</f>
        <v>0.1</v>
      </c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T845" s="3">
        <f t="shared" si="166"/>
        <v>0.2</v>
      </c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 spans="2:31" x14ac:dyDescent="0.3">
      <c r="B846" s="3">
        <f>$B$9</f>
        <v>0.1</v>
      </c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T846" s="3">
        <f t="shared" si="166"/>
        <v>0.2</v>
      </c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 spans="2:31" x14ac:dyDescent="0.3">
      <c r="B847" s="3">
        <f>$B$10</f>
        <v>0.1</v>
      </c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T847" s="3">
        <f t="shared" si="166"/>
        <v>0.2</v>
      </c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 spans="2:31" x14ac:dyDescent="0.3">
      <c r="B848" s="3">
        <f>$B$11</f>
        <v>0.1</v>
      </c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T848" s="3">
        <f t="shared" si="166"/>
        <v>0.2</v>
      </c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50" spans="1:31" x14ac:dyDescent="0.3">
      <c r="A850" s="4" t="s">
        <v>7</v>
      </c>
      <c r="B850" s="5">
        <f>E841 * (1 - E841) * (G841 * F850 + G843 * F851)</f>
        <v>-6.1994276475280729E-5</v>
      </c>
      <c r="C850" s="6"/>
      <c r="D850" s="6"/>
      <c r="E850" s="7"/>
      <c r="F850" s="5">
        <f>I841 * (1 - I841) * K841 *J850</f>
        <v>7.773290332606088E-3</v>
      </c>
      <c r="G850" s="6"/>
      <c r="H850" s="6"/>
      <c r="I850" s="7"/>
      <c r="J850" s="5">
        <f>$P$18 - M841</f>
        <v>-7.1860373340656092E-2</v>
      </c>
      <c r="K850" s="6"/>
      <c r="L850" s="6"/>
      <c r="M850" s="7"/>
      <c r="S850" s="4" t="s">
        <v>7</v>
      </c>
      <c r="T850" s="5">
        <f>W841 * (1 - W841) * (Y841 * X850 + Y843 * X851)</f>
        <v>2.2465664472924402E-5</v>
      </c>
      <c r="U850" s="6"/>
      <c r="V850" s="6"/>
      <c r="W850" s="7"/>
      <c r="X850" s="5">
        <f>AA841 * (1 - AA841) * AC841 *AB850</f>
        <v>-3.3873704568064683E-3</v>
      </c>
      <c r="Y850" s="6"/>
      <c r="Z850" s="6"/>
      <c r="AA850" s="7"/>
      <c r="AB850" s="5">
        <f>$P$19 - AE841</f>
        <v>3.0248842457040126E-2</v>
      </c>
      <c r="AC850" s="6"/>
      <c r="AD850" s="6"/>
      <c r="AE850" s="7"/>
    </row>
    <row r="851" spans="1:31" x14ac:dyDescent="0.3">
      <c r="B851" s="5">
        <f>E842 * (1 - E842) * (G842 * F850 + G844 * F851)</f>
        <v>4.1785395251276702E-5</v>
      </c>
      <c r="C851" s="6"/>
      <c r="D851" s="6"/>
      <c r="E851" s="7"/>
      <c r="F851" s="5">
        <f>J842 * (1 - J842) * K842 * J850</f>
        <v>-3.6298959013773367E-3</v>
      </c>
      <c r="G851" s="6"/>
      <c r="H851" s="6"/>
      <c r="I851" s="7"/>
      <c r="T851" s="5">
        <f>W842 * (1 - W842) * (Y842 * X850 + Y844 * X851)</f>
        <v>-2.4060683995268668E-5</v>
      </c>
      <c r="U851" s="6"/>
      <c r="V851" s="6"/>
      <c r="W851" s="7"/>
      <c r="X851" s="5">
        <f>AB842 * (1 - AB842) * AC842 * AB850</f>
        <v>1.5255694669909492E-3</v>
      </c>
      <c r="Y851" s="6"/>
      <c r="Z851" s="6"/>
      <c r="AA851" s="7"/>
    </row>
    <row r="853" spans="1:31" x14ac:dyDescent="0.3">
      <c r="B853" s="8" t="s">
        <v>4</v>
      </c>
      <c r="C853" s="8"/>
      <c r="D853" s="8"/>
      <c r="E853" s="8"/>
      <c r="F853" s="8" t="s">
        <v>5</v>
      </c>
      <c r="G853" s="8"/>
      <c r="H853" s="8"/>
      <c r="I853" s="8"/>
      <c r="J853" s="8" t="s">
        <v>6</v>
      </c>
      <c r="K853" s="8"/>
      <c r="L853" s="8"/>
      <c r="M853" s="8"/>
      <c r="T853" s="9" t="s">
        <v>4</v>
      </c>
      <c r="U853" s="10"/>
      <c r="V853" s="10"/>
      <c r="W853" s="11"/>
      <c r="X853" s="9" t="s">
        <v>5</v>
      </c>
      <c r="Y853" s="10"/>
      <c r="Z853" s="10"/>
      <c r="AA853" s="11"/>
      <c r="AB853" s="9" t="s">
        <v>6</v>
      </c>
      <c r="AC853" s="10"/>
      <c r="AD853" s="10"/>
      <c r="AE853" s="11"/>
    </row>
    <row r="854" spans="1:31" x14ac:dyDescent="0.3"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T854" s="12"/>
      <c r="U854" s="13"/>
      <c r="V854" s="13"/>
      <c r="W854" s="14"/>
      <c r="X854" s="12"/>
      <c r="Y854" s="13"/>
      <c r="Z854" s="13"/>
      <c r="AA854" s="14"/>
      <c r="AB854" s="12"/>
      <c r="AC854" s="13"/>
      <c r="AD854" s="13"/>
      <c r="AE854" s="14"/>
    </row>
    <row r="855" spans="1:31" x14ac:dyDescent="0.3">
      <c r="B855" s="3" t="s">
        <v>0</v>
      </c>
      <c r="C855" s="3" t="s">
        <v>1</v>
      </c>
      <c r="D855" s="3" t="s">
        <v>2</v>
      </c>
      <c r="E855" s="3" t="s">
        <v>3</v>
      </c>
      <c r="F855" s="3" t="s">
        <v>0</v>
      </c>
      <c r="G855" s="3" t="s">
        <v>1</v>
      </c>
      <c r="H855" s="3" t="s">
        <v>2</v>
      </c>
      <c r="I855" s="3" t="s">
        <v>3</v>
      </c>
      <c r="J855" s="3" t="s">
        <v>0</v>
      </c>
      <c r="K855" s="3" t="s">
        <v>1</v>
      </c>
      <c r="L855" s="3" t="s">
        <v>2</v>
      </c>
      <c r="M855" s="3" t="s">
        <v>3</v>
      </c>
      <c r="T855" s="3">
        <f>$O$19</f>
        <v>0.2</v>
      </c>
      <c r="U855" s="3" t="s">
        <v>1</v>
      </c>
      <c r="V855" s="3" t="s">
        <v>2</v>
      </c>
      <c r="W855" s="3" t="s">
        <v>3</v>
      </c>
      <c r="X855" s="3" t="s">
        <v>0</v>
      </c>
      <c r="Y855" s="3" t="s">
        <v>1</v>
      </c>
      <c r="Z855" s="3" t="s">
        <v>2</v>
      </c>
      <c r="AA855" s="3" t="s">
        <v>3</v>
      </c>
      <c r="AB855" s="3" t="s">
        <v>0</v>
      </c>
      <c r="AC855" s="3" t="s">
        <v>1</v>
      </c>
      <c r="AD855" s="3" t="s">
        <v>2</v>
      </c>
      <c r="AE855" s="3" t="s">
        <v>3</v>
      </c>
    </row>
    <row r="856" spans="1:31" x14ac:dyDescent="0.3">
      <c r="B856" s="3">
        <f>$B$4</f>
        <v>0.1</v>
      </c>
      <c r="C856" s="3">
        <f>C841 + $O$7 * B841 * B850</f>
        <v>9.9931198779184022E-2</v>
      </c>
      <c r="D856" s="3">
        <f>B856*C856+B857*C857</f>
        <v>2.9986239755836797E-2</v>
      </c>
      <c r="E856" s="3">
        <f>1/(1+EXP(-D856))</f>
        <v>0.50749599826312242</v>
      </c>
      <c r="F856" s="3">
        <f>E856</f>
        <v>0.50749599826312242</v>
      </c>
      <c r="G856" s="3">
        <f>G841 + $O$7 * F841 * F850</f>
        <v>0.10571212091306485</v>
      </c>
      <c r="H856" s="3">
        <f>F856*G856+F857*G857</f>
        <v>0.1601468542028005</v>
      </c>
      <c r="I856" s="3">
        <f>1/(1+EXP(-H856))</f>
        <v>0.53995136392454679</v>
      </c>
      <c r="J856" s="3">
        <f>I856</f>
        <v>0.53995136392454679</v>
      </c>
      <c r="K856" s="3">
        <f>K841 + $P$18 * J841 * J850</f>
        <v>-0.45097212088303046</v>
      </c>
      <c r="L856" s="3">
        <f>J856*K856+J857*K857</f>
        <v>-0.1211100865154225</v>
      </c>
      <c r="M856" s="3">
        <f>1/(1+EXP(-L856))</f>
        <v>0.46975943251758417</v>
      </c>
      <c r="T856" s="3">
        <f t="shared" ref="T856:T862" si="170">$O$19</f>
        <v>0.2</v>
      </c>
      <c r="U856" s="3">
        <f>U841 + $O$7 * T841 * T850</f>
        <v>9.9931648092473485E-2</v>
      </c>
      <c r="V856" s="3">
        <f>T856*U856+T857*U857</f>
        <v>5.9972659236989384E-2</v>
      </c>
      <c r="W856" s="3">
        <f>1/(1+EXP(-V856))</f>
        <v>0.51498867257384051</v>
      </c>
      <c r="X856" s="3">
        <f>W856</f>
        <v>0.51498867257384051</v>
      </c>
      <c r="Y856" s="3">
        <f>Y841 + $O$7 * X841 * X850</f>
        <v>0.10553767518676442</v>
      </c>
      <c r="Z856" s="3">
        <f>X856*Y856+X857*Y857</f>
        <v>0.16434254911264315</v>
      </c>
      <c r="AA856" s="3">
        <f>1/(1+EXP(-Z856))</f>
        <v>0.54099341465408757</v>
      </c>
      <c r="AB856" s="3">
        <f>AA856</f>
        <v>0.54099341465408757</v>
      </c>
      <c r="AC856" s="3">
        <f>AC841 +  $P$19 * AB841 * AB850</f>
        <v>-0.44278920713742265</v>
      </c>
      <c r="AD856" s="3">
        <f>AB856*AC856+AB857*AC857</f>
        <v>-0.11669124779125578</v>
      </c>
      <c r="AE856" s="3">
        <f>1/(1+EXP(-AD856))</f>
        <v>0.47086024651487246</v>
      </c>
    </row>
    <row r="857" spans="1:31" x14ac:dyDescent="0.3">
      <c r="B857" s="3">
        <f>$B$5</f>
        <v>0.1</v>
      </c>
      <c r="C857" s="3">
        <f>C842 + $O$7 * B842 * B850</f>
        <v>0.19993119877918394</v>
      </c>
      <c r="D857" s="3">
        <f>B856*C858+B857*C859</f>
        <v>6.9984478576812864E-2</v>
      </c>
      <c r="E857" s="3">
        <f>1/(1+EXP(-D857))</f>
        <v>0.51748898205909732</v>
      </c>
      <c r="F857" s="3">
        <f>E857</f>
        <v>0.51748898205909732</v>
      </c>
      <c r="G857" s="3">
        <f>G842 + $O$7 * F842 * F850</f>
        <v>0.20579834462900817</v>
      </c>
      <c r="H857" s="3">
        <f>F856*G858+F857*G859</f>
        <v>0.35270356715686102</v>
      </c>
      <c r="I857" s="3">
        <f>1/(1+EXP(-H857))</f>
        <v>0.58727303301898692</v>
      </c>
      <c r="J857" s="3">
        <f>I857</f>
        <v>0.58727303301898692</v>
      </c>
      <c r="K857" s="3">
        <f>K842 + $P$18 * J842 * J851</f>
        <v>0.20840889733712384</v>
      </c>
      <c r="L857" s="3"/>
      <c r="M857" s="3"/>
      <c r="T857" s="3">
        <f t="shared" si="170"/>
        <v>0.2</v>
      </c>
      <c r="U857" s="3">
        <f>U842 + $O$7 * T842 * T850</f>
        <v>0.19993164809247341</v>
      </c>
      <c r="V857" s="3">
        <f>T856*U858+T857*U859</f>
        <v>0.13996876466815375</v>
      </c>
      <c r="W857" s="3">
        <f>1/(1+EXP(-V857))</f>
        <v>0.5349351744554065</v>
      </c>
      <c r="X857" s="3">
        <f>W857</f>
        <v>0.5349351744554065</v>
      </c>
      <c r="Y857" s="3">
        <f>Y842 + $O$7 * X842 * X850</f>
        <v>0.20561714225216157</v>
      </c>
      <c r="Z857" s="3">
        <f>X856*Y858+X857*Y859</f>
        <v>0.36185422444340953</v>
      </c>
      <c r="AA857" s="3">
        <f>1/(1+EXP(-Z857))</f>
        <v>0.58948921528654175</v>
      </c>
      <c r="AB857" s="3">
        <f>AA857</f>
        <v>0.58948921528654175</v>
      </c>
      <c r="AC857" s="3">
        <f>AC842 +  $P$19 * AB842 * AB851</f>
        <v>0.20840889733712384</v>
      </c>
      <c r="AD857" s="3"/>
      <c r="AE857" s="3"/>
    </row>
    <row r="858" spans="1:31" x14ac:dyDescent="0.3">
      <c r="B858" s="3">
        <f>$B$6</f>
        <v>0.1</v>
      </c>
      <c r="C858" s="3">
        <f>C843 + $O$7 * B841 * B851</f>
        <v>0.29992239288406425</v>
      </c>
      <c r="D858" s="3"/>
      <c r="E858" s="3"/>
      <c r="F858" s="3"/>
      <c r="G858" s="3">
        <f>G843 + $O$7 * F841 * F851</f>
        <v>0.29368023504114366</v>
      </c>
      <c r="H858" s="3"/>
      <c r="I858" s="3"/>
      <c r="J858" s="3"/>
      <c r="K858" s="3"/>
      <c r="L858" s="3"/>
      <c r="M858" s="3"/>
      <c r="T858" s="3">
        <f t="shared" si="170"/>
        <v>0.2</v>
      </c>
      <c r="U858" s="3">
        <f>U843 + $O$7 * T841 * T851</f>
        <v>0.29992191167038434</v>
      </c>
      <c r="V858" s="3"/>
      <c r="W858" s="3"/>
      <c r="X858" s="3"/>
      <c r="Y858" s="3">
        <f>Y843 + $O$7 * X841 * X851</f>
        <v>0.29375880013376771</v>
      </c>
      <c r="Z858" s="3"/>
      <c r="AA858" s="3"/>
      <c r="AB858" s="3"/>
      <c r="AC858" s="3"/>
      <c r="AD858" s="3"/>
      <c r="AE858" s="3"/>
    </row>
    <row r="859" spans="1:31" x14ac:dyDescent="0.3">
      <c r="B859" s="3">
        <f>$B$7</f>
        <v>0.1</v>
      </c>
      <c r="C859" s="3">
        <f>C844 + $O$7 * B842* B851</f>
        <v>0.39992239288406428</v>
      </c>
      <c r="D859" s="3"/>
      <c r="E859" s="3"/>
      <c r="F859" s="3"/>
      <c r="G859" s="3">
        <f>G844 + $O$7 * F842* F851</f>
        <v>0.39355818223246564</v>
      </c>
      <c r="H859" s="3"/>
      <c r="I859" s="3"/>
      <c r="J859" s="3"/>
      <c r="K859" s="3"/>
      <c r="L859" s="3"/>
      <c r="M859" s="3"/>
      <c r="T859" s="3">
        <f t="shared" si="170"/>
        <v>0.2</v>
      </c>
      <c r="U859" s="3">
        <f>U844 + $O$7 * T842* T851</f>
        <v>0.39992191167038438</v>
      </c>
      <c r="V859" s="3"/>
      <c r="W859" s="3"/>
      <c r="X859" s="3"/>
      <c r="Y859" s="3">
        <f>Y844 + $O$7 * X842* X851</f>
        <v>0.3936397903166679</v>
      </c>
      <c r="Z859" s="3"/>
      <c r="AA859" s="3"/>
      <c r="AB859" s="3"/>
      <c r="AC859" s="3"/>
      <c r="AD859" s="3"/>
      <c r="AE859" s="3"/>
    </row>
    <row r="860" spans="1:31" x14ac:dyDescent="0.3">
      <c r="B860" s="3">
        <f>$B$8</f>
        <v>0.1</v>
      </c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T860" s="3">
        <f t="shared" si="170"/>
        <v>0.2</v>
      </c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 spans="1:31" x14ac:dyDescent="0.3">
      <c r="B861" s="3">
        <f>$B$9</f>
        <v>0.1</v>
      </c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T861" s="3">
        <f t="shared" si="170"/>
        <v>0.2</v>
      </c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 spans="1:31" x14ac:dyDescent="0.3">
      <c r="B862" s="3">
        <f>$B$10</f>
        <v>0.1</v>
      </c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T862" s="3">
        <f t="shared" si="170"/>
        <v>0.2</v>
      </c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 spans="1:31" x14ac:dyDescent="0.3">
      <c r="B863" s="3">
        <f>$B$11</f>
        <v>0.1</v>
      </c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T863" s="3">
        <f>$B$11</f>
        <v>0.1</v>
      </c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9" spans="2:31" x14ac:dyDescent="0.3">
      <c r="B869" s="8" t="s">
        <v>4</v>
      </c>
      <c r="C869" s="8"/>
      <c r="D869" s="8"/>
      <c r="E869" s="8"/>
      <c r="F869" s="8" t="s">
        <v>5</v>
      </c>
      <c r="G869" s="8"/>
      <c r="H869" s="8"/>
      <c r="I869" s="8"/>
      <c r="J869" s="8" t="s">
        <v>6</v>
      </c>
      <c r="K869" s="8"/>
      <c r="L869" s="8"/>
      <c r="M869" s="8"/>
      <c r="T869" s="9" t="s">
        <v>4</v>
      </c>
      <c r="U869" s="10"/>
      <c r="V869" s="10"/>
      <c r="W869" s="11"/>
      <c r="X869" s="9" t="s">
        <v>5</v>
      </c>
      <c r="Y869" s="10"/>
      <c r="Z869" s="10"/>
      <c r="AA869" s="11"/>
      <c r="AB869" s="9" t="s">
        <v>6</v>
      </c>
      <c r="AC869" s="10"/>
      <c r="AD869" s="10"/>
      <c r="AE869" s="11"/>
    </row>
    <row r="870" spans="2:31" x14ac:dyDescent="0.3"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T870" s="12"/>
      <c r="U870" s="13"/>
      <c r="V870" s="13"/>
      <c r="W870" s="14"/>
      <c r="X870" s="12"/>
      <c r="Y870" s="13"/>
      <c r="Z870" s="13"/>
      <c r="AA870" s="14"/>
      <c r="AB870" s="12"/>
      <c r="AC870" s="13"/>
      <c r="AD870" s="13"/>
      <c r="AE870" s="14"/>
    </row>
    <row r="871" spans="2:31" x14ac:dyDescent="0.3">
      <c r="B871" s="3" t="s">
        <v>0</v>
      </c>
      <c r="C871" s="3" t="s">
        <v>1</v>
      </c>
      <c r="D871" s="3" t="s">
        <v>2</v>
      </c>
      <c r="E871" s="3" t="s">
        <v>3</v>
      </c>
      <c r="F871" s="3" t="s">
        <v>0</v>
      </c>
      <c r="G871" s="3" t="s">
        <v>1</v>
      </c>
      <c r="H871" s="3" t="s">
        <v>2</v>
      </c>
      <c r="I871" s="3" t="s">
        <v>3</v>
      </c>
      <c r="J871" s="3" t="s">
        <v>0</v>
      </c>
      <c r="K871" s="3" t="s">
        <v>1</v>
      </c>
      <c r="L871" s="3" t="s">
        <v>2</v>
      </c>
      <c r="M871" s="3" t="s">
        <v>3</v>
      </c>
      <c r="T871" s="3" t="s">
        <v>0</v>
      </c>
      <c r="U871" s="3" t="s">
        <v>1</v>
      </c>
      <c r="V871" s="3" t="s">
        <v>2</v>
      </c>
      <c r="W871" s="3" t="s">
        <v>3</v>
      </c>
      <c r="X871" s="3" t="s">
        <v>0</v>
      </c>
      <c r="Y871" s="3" t="s">
        <v>1</v>
      </c>
      <c r="Z871" s="3" t="s">
        <v>2</v>
      </c>
      <c r="AA871" s="3" t="s">
        <v>3</v>
      </c>
      <c r="AB871" s="3" t="s">
        <v>0</v>
      </c>
      <c r="AC871" s="3" t="s">
        <v>1</v>
      </c>
      <c r="AD871" s="3" t="s">
        <v>2</v>
      </c>
      <c r="AE871" s="3" t="s">
        <v>3</v>
      </c>
    </row>
    <row r="872" spans="2:31" x14ac:dyDescent="0.3">
      <c r="B872" s="3">
        <f>$B$4</f>
        <v>0.1</v>
      </c>
      <c r="C872" s="3">
        <f>U856</f>
        <v>9.9931648092473485E-2</v>
      </c>
      <c r="D872" s="3">
        <f>B872*C872+B873*C873</f>
        <v>2.9986329618494692E-2</v>
      </c>
      <c r="E872" s="3">
        <f>1/(1+EXP(-D872))</f>
        <v>0.50749602072373745</v>
      </c>
      <c r="F872" s="3">
        <f>E872</f>
        <v>0.50749602072373745</v>
      </c>
      <c r="G872" s="3">
        <f>Y856</f>
        <v>0.10553767518676442</v>
      </c>
      <c r="H872" s="3">
        <f>F872*G872+F873*G873</f>
        <v>0.15996455089045269</v>
      </c>
      <c r="I872" s="3">
        <f>1/(1+EXP(-H872))</f>
        <v>0.53990607874317076</v>
      </c>
      <c r="J872" s="3">
        <f>I872</f>
        <v>0.53990607874317076</v>
      </c>
      <c r="K872" s="3">
        <f>AC856</f>
        <v>-0.44278920713742265</v>
      </c>
      <c r="L872" s="3">
        <f>J872*K872+J873*K873</f>
        <v>-0.11666751205310387</v>
      </c>
      <c r="M872" s="3">
        <f>1/(1+EXP(-L872))</f>
        <v>0.47086616029888628</v>
      </c>
      <c r="T872" s="3">
        <f>$O$19</f>
        <v>0.2</v>
      </c>
      <c r="U872" s="3">
        <f>C887</f>
        <v>9.9931075860803437E-2</v>
      </c>
      <c r="V872" s="3">
        <f>T872*U872+T873*U873</f>
        <v>5.9972430344321363E-2</v>
      </c>
      <c r="W872" s="3">
        <f>1/(1+EXP(-V872))</f>
        <v>0.51498861540209651</v>
      </c>
      <c r="X872" s="3">
        <f>W872</f>
        <v>0.51498861540209651</v>
      </c>
      <c r="Y872" s="3">
        <f>G887</f>
        <v>0.10593325423633927</v>
      </c>
      <c r="Z872" s="3">
        <f>X872*Y872+X873*Y873</f>
        <v>0.16476204757048774</v>
      </c>
      <c r="AA872" s="3">
        <f>1/(1+EXP(-Z872))</f>
        <v>0.54109758252528284</v>
      </c>
      <c r="AB872" s="3">
        <f>AA872</f>
        <v>0.54109758252528284</v>
      </c>
      <c r="AC872" s="3">
        <f>K887</f>
        <v>-0.45809363542644532</v>
      </c>
      <c r="AD872" s="3">
        <f>AB872*AC872+AB873*AC873</f>
        <v>-0.12502827756014467</v>
      </c>
      <c r="AE872" s="3">
        <f>1/(1+EXP(-AD872))</f>
        <v>0.46878358478547277</v>
      </c>
    </row>
    <row r="873" spans="2:31" x14ac:dyDescent="0.3">
      <c r="B873" s="3">
        <f>$B$5</f>
        <v>0.1</v>
      </c>
      <c r="C873" s="3">
        <f>U857</f>
        <v>0.19993164809247341</v>
      </c>
      <c r="D873" s="3">
        <f>B872*C874+B873*C875</f>
        <v>6.9984382334076875E-2</v>
      </c>
      <c r="E873" s="3">
        <f>1/(1+EXP(-D873))</f>
        <v>0.51748895802785055</v>
      </c>
      <c r="F873" s="3">
        <f>E873</f>
        <v>0.51748895802785055</v>
      </c>
      <c r="G873" s="3">
        <f t="shared" ref="G873:G875" si="171">Y857</f>
        <v>0.20561714225216157</v>
      </c>
      <c r="H873" s="3">
        <f>F872*G874+F873*G875</f>
        <v>0.3527856670497409</v>
      </c>
      <c r="I873" s="3">
        <f>1/(1+EXP(-H873))</f>
        <v>0.58729293252902326</v>
      </c>
      <c r="J873" s="3">
        <f>I873</f>
        <v>0.58729293252902326</v>
      </c>
      <c r="K873" s="3">
        <f>AC857</f>
        <v>0.20840889733712384</v>
      </c>
      <c r="L873" s="3"/>
      <c r="M873" s="3"/>
      <c r="T873" s="3">
        <f t="shared" ref="T873:T879" si="172">$O$19</f>
        <v>0.2</v>
      </c>
      <c r="U873" s="3">
        <f t="shared" ref="U873:U875" si="173">C888</f>
        <v>0.19993107586080336</v>
      </c>
      <c r="V873" s="3">
        <f>T872*U874+T873*U875</f>
        <v>0.13996895803054371</v>
      </c>
      <c r="W873" s="3">
        <f>1/(1+EXP(-V873))</f>
        <v>0.53493522256001136</v>
      </c>
      <c r="X873" s="3">
        <f>W873</f>
        <v>0.53493522256001136</v>
      </c>
      <c r="Y873" s="3">
        <f t="shared" ref="Y873:Y875" si="174">G888</f>
        <v>0.2060205105187545</v>
      </c>
      <c r="Z873" s="3">
        <f>X872*Y874+X873*Y875</f>
        <v>0.36166157278775479</v>
      </c>
      <c r="AA873" s="3">
        <f>1/(1+EXP(-Z873))</f>
        <v>0.58944259438505653</v>
      </c>
      <c r="AB873" s="3">
        <f>AA873</f>
        <v>0.58944259438505653</v>
      </c>
      <c r="AC873" s="3">
        <f>K888</f>
        <v>0.20840889733712384</v>
      </c>
      <c r="AD873" s="3"/>
      <c r="AE873" s="3"/>
    </row>
    <row r="874" spans="2:31" x14ac:dyDescent="0.3">
      <c r="B874" s="3">
        <f>$B$6</f>
        <v>0.1</v>
      </c>
      <c r="C874" s="3">
        <f t="shared" ref="C874:C875" si="175">U858</f>
        <v>0.29992191167038434</v>
      </c>
      <c r="D874" s="3"/>
      <c r="E874" s="3"/>
      <c r="F874" s="3"/>
      <c r="G874" s="3">
        <f t="shared" si="171"/>
        <v>0.29375880013376771</v>
      </c>
      <c r="H874" s="3"/>
      <c r="I874" s="3"/>
      <c r="J874" s="3"/>
      <c r="K874" s="3"/>
      <c r="L874" s="3"/>
      <c r="M874" s="3"/>
      <c r="T874" s="3">
        <f t="shared" si="172"/>
        <v>0.2</v>
      </c>
      <c r="U874" s="3">
        <f t="shared" si="173"/>
        <v>0.29992239507635921</v>
      </c>
      <c r="V874" s="3"/>
      <c r="W874" s="3"/>
      <c r="X874" s="3"/>
      <c r="Y874" s="3">
        <f t="shared" si="174"/>
        <v>0.29357712960508392</v>
      </c>
      <c r="Z874" s="3"/>
      <c r="AA874" s="3"/>
      <c r="AB874" s="3"/>
      <c r="AC874" s="3"/>
      <c r="AD874" s="3"/>
      <c r="AE874" s="3"/>
    </row>
    <row r="875" spans="2:31" x14ac:dyDescent="0.3">
      <c r="B875" s="3">
        <f>$B$7</f>
        <v>0.1</v>
      </c>
      <c r="C875" s="3">
        <f t="shared" si="175"/>
        <v>0.39992191167038438</v>
      </c>
      <c r="D875" s="3"/>
      <c r="E875" s="3"/>
      <c r="F875" s="3"/>
      <c r="G875" s="3">
        <f t="shared" si="171"/>
        <v>0.3936397903166679</v>
      </c>
      <c r="H875" s="3"/>
      <c r="I875" s="3"/>
      <c r="J875" s="3"/>
      <c r="K875" s="3"/>
      <c r="L875" s="3"/>
      <c r="M875" s="3"/>
      <c r="T875" s="3">
        <f t="shared" si="172"/>
        <v>0.2</v>
      </c>
      <c r="U875" s="3">
        <f t="shared" si="173"/>
        <v>0.39992239507635924</v>
      </c>
      <c r="V875" s="3"/>
      <c r="W875" s="3"/>
      <c r="X875" s="3"/>
      <c r="Y875" s="3">
        <f t="shared" si="174"/>
        <v>0.39345454257332824</v>
      </c>
      <c r="Z875" s="3"/>
      <c r="AA875" s="3"/>
      <c r="AB875" s="3"/>
      <c r="AC875" s="3"/>
      <c r="AD875" s="3"/>
      <c r="AE875" s="3"/>
    </row>
    <row r="876" spans="2:31" x14ac:dyDescent="0.3">
      <c r="B876" s="3">
        <f>$B$8</f>
        <v>0.1</v>
      </c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T876" s="3">
        <f t="shared" si="172"/>
        <v>0.2</v>
      </c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 spans="2:31" x14ac:dyDescent="0.3">
      <c r="B877" s="3">
        <f>$B$9</f>
        <v>0.1</v>
      </c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T877" s="3">
        <f t="shared" si="172"/>
        <v>0.2</v>
      </c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 spans="2:31" x14ac:dyDescent="0.3">
      <c r="B878" s="3">
        <f>$B$10</f>
        <v>0.1</v>
      </c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T878" s="3">
        <f t="shared" si="172"/>
        <v>0.2</v>
      </c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 spans="2:31" x14ac:dyDescent="0.3">
      <c r="B879" s="3">
        <f>$B$11</f>
        <v>0.1</v>
      </c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T879" s="3">
        <f t="shared" si="172"/>
        <v>0.2</v>
      </c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1" spans="1:31" x14ac:dyDescent="0.3">
      <c r="A881" s="4" t="s">
        <v>7</v>
      </c>
      <c r="B881" s="5">
        <f>E872 * (1 - E872) * (G872 * F881 + G874 * F882)</f>
        <v>-5.7223167004481835E-5</v>
      </c>
      <c r="C881" s="6"/>
      <c r="D881" s="6"/>
      <c r="E881" s="7"/>
      <c r="F881" s="5">
        <f>I872 * (1 - I872) * K872 *J881</f>
        <v>7.7947221933035481E-3</v>
      </c>
      <c r="G881" s="6"/>
      <c r="H881" s="6"/>
      <c r="I881" s="7"/>
      <c r="J881" s="5">
        <f>$P$18 - M872</f>
        <v>-7.086616029888626E-2</v>
      </c>
      <c r="K881" s="6"/>
      <c r="L881" s="6"/>
      <c r="M881" s="7"/>
      <c r="S881" s="4" t="s">
        <v>7</v>
      </c>
      <c r="T881" s="5">
        <f>W872 * (1 - W872) * (Y872 * X881 + Y874 * X882)</f>
        <v>2.1494052981400572E-5</v>
      </c>
      <c r="U881" s="6"/>
      <c r="V881" s="6"/>
      <c r="W881" s="7"/>
      <c r="X881" s="5">
        <f>AA872 * (1 - AA872) * AC872 *AB881</f>
        <v>-3.5508573517422483E-3</v>
      </c>
      <c r="Y881" s="6"/>
      <c r="Z881" s="6"/>
      <c r="AA881" s="7"/>
      <c r="AB881" s="5">
        <f>$P$19 - AE872</f>
        <v>3.1216415214527227E-2</v>
      </c>
      <c r="AC881" s="6"/>
      <c r="AD881" s="6"/>
      <c r="AE881" s="7"/>
    </row>
    <row r="882" spans="1:31" x14ac:dyDescent="0.3">
      <c r="B882" s="5">
        <f>E873 * (1 - E873) * (G873 * F881 + G875 * F882)</f>
        <v>4.8340597484829897E-5</v>
      </c>
      <c r="C882" s="6"/>
      <c r="D882" s="6"/>
      <c r="E882" s="7"/>
      <c r="F882" s="5">
        <f>J873 * (1 - J873) * K873 * J881</f>
        <v>-3.5797429194560212E-3</v>
      </c>
      <c r="G882" s="6"/>
      <c r="H882" s="6"/>
      <c r="I882" s="7"/>
      <c r="T882" s="5">
        <f>W873 * (1 - W873) * (Y873 * X881 + Y875 * X882)</f>
        <v>-2.7886983638975563E-5</v>
      </c>
      <c r="U882" s="6"/>
      <c r="V882" s="6"/>
      <c r="W882" s="7"/>
      <c r="X882" s="5">
        <f>AB873 * (1 - AB873) * AC873 * AB881</f>
        <v>1.5743985841717163E-3</v>
      </c>
      <c r="Y882" s="6"/>
      <c r="Z882" s="6"/>
      <c r="AA882" s="7"/>
    </row>
    <row r="884" spans="1:31" x14ac:dyDescent="0.3">
      <c r="B884" s="8" t="s">
        <v>4</v>
      </c>
      <c r="C884" s="8"/>
      <c r="D884" s="8"/>
      <c r="E884" s="8"/>
      <c r="F884" s="8" t="s">
        <v>5</v>
      </c>
      <c r="G884" s="8"/>
      <c r="H884" s="8"/>
      <c r="I884" s="8"/>
      <c r="J884" s="8" t="s">
        <v>6</v>
      </c>
      <c r="K884" s="8"/>
      <c r="L884" s="8"/>
      <c r="M884" s="8"/>
      <c r="T884" s="9" t="s">
        <v>4</v>
      </c>
      <c r="U884" s="10"/>
      <c r="V884" s="10"/>
      <c r="W884" s="11"/>
      <c r="X884" s="9" t="s">
        <v>5</v>
      </c>
      <c r="Y884" s="10"/>
      <c r="Z884" s="10"/>
      <c r="AA884" s="11"/>
      <c r="AB884" s="9" t="s">
        <v>6</v>
      </c>
      <c r="AC884" s="10"/>
      <c r="AD884" s="10"/>
      <c r="AE884" s="11"/>
    </row>
    <row r="885" spans="1:31" x14ac:dyDescent="0.3"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T885" s="12"/>
      <c r="U885" s="13"/>
      <c r="V885" s="13"/>
      <c r="W885" s="14"/>
      <c r="X885" s="12"/>
      <c r="Y885" s="13"/>
      <c r="Z885" s="13"/>
      <c r="AA885" s="14"/>
      <c r="AB885" s="12"/>
      <c r="AC885" s="13"/>
      <c r="AD885" s="13"/>
      <c r="AE885" s="14"/>
    </row>
    <row r="886" spans="1:31" x14ac:dyDescent="0.3">
      <c r="B886" s="3" t="s">
        <v>0</v>
      </c>
      <c r="C886" s="3" t="s">
        <v>1</v>
      </c>
      <c r="D886" s="3" t="s">
        <v>2</v>
      </c>
      <c r="E886" s="3" t="s">
        <v>3</v>
      </c>
      <c r="F886" s="3" t="s">
        <v>0</v>
      </c>
      <c r="G886" s="3" t="s">
        <v>1</v>
      </c>
      <c r="H886" s="3" t="s">
        <v>2</v>
      </c>
      <c r="I886" s="3" t="s">
        <v>3</v>
      </c>
      <c r="J886" s="3" t="s">
        <v>0</v>
      </c>
      <c r="K886" s="3" t="s">
        <v>1</v>
      </c>
      <c r="L886" s="3" t="s">
        <v>2</v>
      </c>
      <c r="M886" s="3" t="s">
        <v>3</v>
      </c>
      <c r="T886" s="3">
        <f>$O$19</f>
        <v>0.2</v>
      </c>
      <c r="U886" s="3" t="s">
        <v>1</v>
      </c>
      <c r="V886" s="3" t="s">
        <v>2</v>
      </c>
      <c r="W886" s="3" t="s">
        <v>3</v>
      </c>
      <c r="X886" s="3" t="s">
        <v>0</v>
      </c>
      <c r="Y886" s="3" t="s">
        <v>1</v>
      </c>
      <c r="Z886" s="3" t="s">
        <v>2</v>
      </c>
      <c r="AA886" s="3" t="s">
        <v>3</v>
      </c>
      <c r="AB886" s="3" t="s">
        <v>0</v>
      </c>
      <c r="AC886" s="3" t="s">
        <v>1</v>
      </c>
      <c r="AD886" s="3" t="s">
        <v>2</v>
      </c>
      <c r="AE886" s="3" t="s">
        <v>3</v>
      </c>
    </row>
    <row r="887" spans="1:31" x14ac:dyDescent="0.3">
      <c r="B887" s="3">
        <f>$B$4</f>
        <v>0.1</v>
      </c>
      <c r="C887" s="3">
        <f>C872 + $O$7 * B872 * B881</f>
        <v>9.9931075860803437E-2</v>
      </c>
      <c r="D887" s="3">
        <f>B887*C887+B888*C888</f>
        <v>2.9986215172160682E-2</v>
      </c>
      <c r="E887" s="3">
        <f>1/(1+EXP(-D887))</f>
        <v>0.50749599211858465</v>
      </c>
      <c r="F887" s="3">
        <f>E887</f>
        <v>0.50749599211858465</v>
      </c>
      <c r="G887" s="3">
        <f>G872 + $O$7 * F872 * F881</f>
        <v>0.10593325423633927</v>
      </c>
      <c r="H887" s="3">
        <f>F887*G887+F888*G888</f>
        <v>0.16037404625122234</v>
      </c>
      <c r="I887" s="3">
        <f>1/(1+EXP(-H887))</f>
        <v>0.54000779880033434</v>
      </c>
      <c r="J887" s="3">
        <f>I887</f>
        <v>0.54000779880033434</v>
      </c>
      <c r="K887" s="3">
        <f>K872 + $P$18 * J872 * J881</f>
        <v>-0.45809363542644532</v>
      </c>
      <c r="L887" s="3">
        <f>J887*K887+J888*K888</f>
        <v>-0.12498656305470897</v>
      </c>
      <c r="M887" s="3">
        <f>1/(1+EXP(-L887))</f>
        <v>0.46879397277604917</v>
      </c>
      <c r="T887" s="3">
        <f t="shared" ref="T887:T893" si="176">$O$19</f>
        <v>0.2</v>
      </c>
      <c r="U887" s="3">
        <f>U872 + $O$7 * T872 * T881</f>
        <v>9.9931505741863061E-2</v>
      </c>
      <c r="V887" s="3">
        <f>T887*U887+T888*U888</f>
        <v>5.9972602296745212E-2</v>
      </c>
      <c r="W887" s="3">
        <f>1/(1+EXP(-V887))</f>
        <v>0.5149886583515717</v>
      </c>
      <c r="X887" s="3">
        <f>W887</f>
        <v>0.5149886583515717</v>
      </c>
      <c r="Y887" s="3">
        <f>Y872 + $O$7 * X872 * X881</f>
        <v>0.10575038912523287</v>
      </c>
      <c r="Z887" s="3">
        <f>X887*Y887+X888*Y888</f>
        <v>0.16456625743370701</v>
      </c>
      <c r="AA887" s="3">
        <f>1/(1+EXP(-Z887))</f>
        <v>0.54104896529179569</v>
      </c>
      <c r="AB887" s="3">
        <f>AA887</f>
        <v>0.54104896529179569</v>
      </c>
      <c r="AC887" s="3">
        <f>AC872 +  $P$19 * AB872 * AB881</f>
        <v>-0.44964807202260226</v>
      </c>
      <c r="AD887" s="3">
        <f>AB887*AC887+AB888*AC888</f>
        <v>-0.12043216534326083</v>
      </c>
      <c r="AE887" s="3">
        <f>1/(1+EXP(-AD887))</f>
        <v>0.46992829631255151</v>
      </c>
    </row>
    <row r="888" spans="1:31" x14ac:dyDescent="0.3">
      <c r="B888" s="3">
        <f>$B$5</f>
        <v>0.1</v>
      </c>
      <c r="C888" s="3">
        <f>C873 + $O$7 * B873 * B881</f>
        <v>0.19993107586080336</v>
      </c>
      <c r="D888" s="3">
        <f>B887*C889+B888*C890</f>
        <v>6.9984479015271855E-2</v>
      </c>
      <c r="E888" s="3">
        <f>1/(1+EXP(-D888))</f>
        <v>0.51748898216857797</v>
      </c>
      <c r="F888" s="3">
        <f>E888</f>
        <v>0.51748898216857797</v>
      </c>
      <c r="G888" s="3">
        <f>G873 + $O$7 * F873 * F881</f>
        <v>0.2060205105187545</v>
      </c>
      <c r="H888" s="3">
        <f>F887*G889+F888*G890</f>
        <v>0.3525976074181334</v>
      </c>
      <c r="I888" s="3">
        <f>1/(1+EXP(-H888))</f>
        <v>0.58724734989789595</v>
      </c>
      <c r="J888" s="3">
        <f>I888</f>
        <v>0.58724734989789595</v>
      </c>
      <c r="K888" s="3">
        <f>K873 + $P$18 * J873 * J882</f>
        <v>0.20840889733712384</v>
      </c>
      <c r="L888" s="3"/>
      <c r="M888" s="3"/>
      <c r="T888" s="3">
        <f t="shared" si="176"/>
        <v>0.2</v>
      </c>
      <c r="U888" s="3">
        <f>U873 + $O$7 * T873 * T881</f>
        <v>0.199931505741863</v>
      </c>
      <c r="V888" s="3">
        <f>T887*U889+T888*U890</f>
        <v>0.1399687349346746</v>
      </c>
      <c r="W888" s="3">
        <f>1/(1+EXP(-V888))</f>
        <v>0.53493516705832544</v>
      </c>
      <c r="X888" s="3">
        <f>W888</f>
        <v>0.53493516705832544</v>
      </c>
      <c r="Y888" s="3">
        <f>Y873 + $O$7 * X873 * X881</f>
        <v>0.20583056265198119</v>
      </c>
      <c r="Z888" s="3">
        <f>X887*Y889+X888*Y890</f>
        <v>0.36174837101015045</v>
      </c>
      <c r="AA888" s="3">
        <f>1/(1+EXP(-Z888))</f>
        <v>0.58946359939372794</v>
      </c>
      <c r="AB888" s="3">
        <f>AA888</f>
        <v>0.58946359939372794</v>
      </c>
      <c r="AC888" s="3">
        <f>AC873 +  $P$19 * AB873 * AB882</f>
        <v>0.20840889733712384</v>
      </c>
      <c r="AD888" s="3"/>
      <c r="AE888" s="3"/>
    </row>
    <row r="889" spans="1:31" x14ac:dyDescent="0.3">
      <c r="B889" s="3">
        <f>$B$6</f>
        <v>0.1</v>
      </c>
      <c r="C889" s="3">
        <f>C874 + $O$7 * B872 * B882</f>
        <v>0.29992239507635921</v>
      </c>
      <c r="D889" s="3"/>
      <c r="E889" s="3"/>
      <c r="F889" s="3"/>
      <c r="G889" s="3">
        <f>G874 + $O$7 * F872 * F882</f>
        <v>0.29357712960508392</v>
      </c>
      <c r="H889" s="3"/>
      <c r="I889" s="3"/>
      <c r="J889" s="3"/>
      <c r="K889" s="3"/>
      <c r="L889" s="3"/>
      <c r="M889" s="3"/>
      <c r="T889" s="3">
        <f t="shared" si="176"/>
        <v>0.2</v>
      </c>
      <c r="U889" s="3">
        <f>U874 + $O$7 * T872 * T882</f>
        <v>0.29992183733668643</v>
      </c>
      <c r="V889" s="3"/>
      <c r="W889" s="3"/>
      <c r="X889" s="3"/>
      <c r="Y889" s="3">
        <f>Y874 + $O$7 * X872 * X882</f>
        <v>0.29365820933977926</v>
      </c>
      <c r="Z889" s="3"/>
      <c r="AA889" s="3"/>
      <c r="AB889" s="3"/>
      <c r="AC889" s="3"/>
      <c r="AD889" s="3"/>
      <c r="AE889" s="3"/>
    </row>
    <row r="890" spans="1:31" x14ac:dyDescent="0.3">
      <c r="B890" s="3">
        <f>$B$7</f>
        <v>0.1</v>
      </c>
      <c r="C890" s="3">
        <f>C875 + $O$7 * B873* B882</f>
        <v>0.39992239507635924</v>
      </c>
      <c r="D890" s="3"/>
      <c r="E890" s="3"/>
      <c r="F890" s="3"/>
      <c r="G890" s="3">
        <f>G875 + $O$7 * F873* F882</f>
        <v>0.39345454257332824</v>
      </c>
      <c r="H890" s="3"/>
      <c r="I890" s="3"/>
      <c r="J890" s="3"/>
      <c r="K890" s="3"/>
      <c r="L890" s="3"/>
      <c r="M890" s="3"/>
      <c r="T890" s="3">
        <f t="shared" si="176"/>
        <v>0.2</v>
      </c>
      <c r="U890" s="3">
        <f>U875 + $O$7 * T873* T882</f>
        <v>0.39992183733668646</v>
      </c>
      <c r="V890" s="3"/>
      <c r="W890" s="3"/>
      <c r="X890" s="3"/>
      <c r="Y890" s="3">
        <f>Y875 + $O$7 * X873* X882</f>
        <v>0.39353876269903043</v>
      </c>
      <c r="Z890" s="3"/>
      <c r="AA890" s="3"/>
      <c r="AB890" s="3"/>
      <c r="AC890" s="3"/>
      <c r="AD890" s="3"/>
      <c r="AE890" s="3"/>
    </row>
    <row r="891" spans="1:31" x14ac:dyDescent="0.3">
      <c r="B891" s="3">
        <f>$B$8</f>
        <v>0.1</v>
      </c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T891" s="3">
        <f t="shared" si="176"/>
        <v>0.2</v>
      </c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 spans="1:31" x14ac:dyDescent="0.3">
      <c r="B892" s="3">
        <f>$B$9</f>
        <v>0.1</v>
      </c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T892" s="3">
        <f t="shared" si="176"/>
        <v>0.2</v>
      </c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 spans="1:31" x14ac:dyDescent="0.3">
      <c r="B893" s="3">
        <f>$B$10</f>
        <v>0.1</v>
      </c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T893" s="3">
        <f t="shared" si="176"/>
        <v>0.2</v>
      </c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 spans="1:31" x14ac:dyDescent="0.3">
      <c r="B894" s="3">
        <f>$B$11</f>
        <v>0.1</v>
      </c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T894" s="3">
        <f>$B$11</f>
        <v>0.1</v>
      </c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900" spans="1:31" x14ac:dyDescent="0.3">
      <c r="B900" s="8" t="s">
        <v>4</v>
      </c>
      <c r="C900" s="8"/>
      <c r="D900" s="8"/>
      <c r="E900" s="8"/>
      <c r="F900" s="8" t="s">
        <v>5</v>
      </c>
      <c r="G900" s="8"/>
      <c r="H900" s="8"/>
      <c r="I900" s="8"/>
      <c r="J900" s="8" t="s">
        <v>6</v>
      </c>
      <c r="K900" s="8"/>
      <c r="L900" s="8"/>
      <c r="M900" s="8"/>
      <c r="T900" s="9" t="s">
        <v>4</v>
      </c>
      <c r="U900" s="10"/>
      <c r="V900" s="10"/>
      <c r="W900" s="11"/>
      <c r="X900" s="9" t="s">
        <v>5</v>
      </c>
      <c r="Y900" s="10"/>
      <c r="Z900" s="10"/>
      <c r="AA900" s="11"/>
      <c r="AB900" s="9" t="s">
        <v>6</v>
      </c>
      <c r="AC900" s="10"/>
      <c r="AD900" s="10"/>
      <c r="AE900" s="11"/>
    </row>
    <row r="901" spans="1:31" x14ac:dyDescent="0.3"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T901" s="12"/>
      <c r="U901" s="13"/>
      <c r="V901" s="13"/>
      <c r="W901" s="14"/>
      <c r="X901" s="12"/>
      <c r="Y901" s="13"/>
      <c r="Z901" s="13"/>
      <c r="AA901" s="14"/>
      <c r="AB901" s="12"/>
      <c r="AC901" s="13"/>
      <c r="AD901" s="13"/>
      <c r="AE901" s="14"/>
    </row>
    <row r="902" spans="1:31" x14ac:dyDescent="0.3">
      <c r="B902" s="3" t="s">
        <v>0</v>
      </c>
      <c r="C902" s="3" t="s">
        <v>1</v>
      </c>
      <c r="D902" s="3" t="s">
        <v>2</v>
      </c>
      <c r="E902" s="3" t="s">
        <v>3</v>
      </c>
      <c r="F902" s="3" t="s">
        <v>0</v>
      </c>
      <c r="G902" s="3" t="s">
        <v>1</v>
      </c>
      <c r="H902" s="3" t="s">
        <v>2</v>
      </c>
      <c r="I902" s="3" t="s">
        <v>3</v>
      </c>
      <c r="J902" s="3" t="s">
        <v>0</v>
      </c>
      <c r="K902" s="3" t="s">
        <v>1</v>
      </c>
      <c r="L902" s="3" t="s">
        <v>2</v>
      </c>
      <c r="M902" s="3" t="s">
        <v>3</v>
      </c>
      <c r="T902" s="3" t="s">
        <v>0</v>
      </c>
      <c r="U902" s="3" t="s">
        <v>1</v>
      </c>
      <c r="V902" s="3" t="s">
        <v>2</v>
      </c>
      <c r="W902" s="3" t="s">
        <v>3</v>
      </c>
      <c r="X902" s="3" t="s">
        <v>0</v>
      </c>
      <c r="Y902" s="3" t="s">
        <v>1</v>
      </c>
      <c r="Z902" s="3" t="s">
        <v>2</v>
      </c>
      <c r="AA902" s="3" t="s">
        <v>3</v>
      </c>
      <c r="AB902" s="3" t="s">
        <v>0</v>
      </c>
      <c r="AC902" s="3" t="s">
        <v>1</v>
      </c>
      <c r="AD902" s="3" t="s">
        <v>2</v>
      </c>
      <c r="AE902" s="3" t="s">
        <v>3</v>
      </c>
    </row>
    <row r="903" spans="1:31" x14ac:dyDescent="0.3">
      <c r="B903" s="3">
        <f>$B$4</f>
        <v>0.1</v>
      </c>
      <c r="C903" s="3">
        <f>U887</f>
        <v>9.9931505741863061E-2</v>
      </c>
      <c r="D903" s="3">
        <f>B903*C903+B904*C904</f>
        <v>2.9986301148372606E-2</v>
      </c>
      <c r="E903" s="3">
        <f>1/(1+EXP(-D903))</f>
        <v>0.50749601360780672</v>
      </c>
      <c r="F903" s="3">
        <f>E903</f>
        <v>0.50749601360780672</v>
      </c>
      <c r="G903" s="3">
        <f>Y887</f>
        <v>0.10575038912523287</v>
      </c>
      <c r="H903" s="3">
        <f>F903*G903+F904*G904</f>
        <v>0.1601829435515186</v>
      </c>
      <c r="I903" s="3">
        <f>1/(1+EXP(-H903))</f>
        <v>0.53996032864617594</v>
      </c>
      <c r="J903" s="3">
        <f>I903</f>
        <v>0.53996032864617594</v>
      </c>
      <c r="K903" s="3">
        <f>AC887</f>
        <v>-0.44964807202260226</v>
      </c>
      <c r="L903" s="3">
        <f>J903*K903+J904*K904</f>
        <v>-0.12040026811964276</v>
      </c>
      <c r="M903" s="3">
        <f>1/(1+EXP(-L903))</f>
        <v>0.46993624178118254</v>
      </c>
      <c r="T903" s="3">
        <f>$O$19</f>
        <v>0.2</v>
      </c>
      <c r="U903" s="3">
        <f>C918</f>
        <v>9.9930977409491875E-2</v>
      </c>
      <c r="V903" s="3">
        <f>T903*U903+T904*U904</f>
        <v>5.9972390963796737E-2</v>
      </c>
      <c r="W903" s="3">
        <f>1/(1+EXP(-V903))</f>
        <v>0.5149886055658125</v>
      </c>
      <c r="X903" s="3">
        <f>W903</f>
        <v>0.5149886055658125</v>
      </c>
      <c r="Y903" s="3">
        <f>G918</f>
        <v>0.10614681756108367</v>
      </c>
      <c r="Z903" s="3">
        <f>X903*Y903+X904*Y904</f>
        <v>0.16498665831208631</v>
      </c>
      <c r="AA903" s="3">
        <f>1/(1+EXP(-Z903))</f>
        <v>0.54115335532553333</v>
      </c>
      <c r="AB903" s="3">
        <f>AA903</f>
        <v>0.54115335532553333</v>
      </c>
      <c r="AC903" s="3">
        <f>K918</f>
        <v>-0.46475319046118058</v>
      </c>
      <c r="AD903" s="3">
        <f>AB903*AC903+AB904*AC904</f>
        <v>-0.12866287852684427</v>
      </c>
      <c r="AE903" s="3">
        <f>1/(1+EXP(-AD903))</f>
        <v>0.46787858001111116</v>
      </c>
    </row>
    <row r="904" spans="1:31" x14ac:dyDescent="0.3">
      <c r="B904" s="3">
        <f>$B$5</f>
        <v>0.1</v>
      </c>
      <c r="C904" s="3">
        <f>U888</f>
        <v>0.199931505741863</v>
      </c>
      <c r="D904" s="3">
        <f>B903*C905+B904*C906</f>
        <v>6.99843674673373E-2</v>
      </c>
      <c r="E904" s="3">
        <f>1/(1+EXP(-D904))</f>
        <v>0.51748895431571285</v>
      </c>
      <c r="F904" s="3">
        <f>E904</f>
        <v>0.51748895431571285</v>
      </c>
      <c r="G904" s="3">
        <f t="shared" ref="G904:G906" si="177">Y888</f>
        <v>0.20583056265198119</v>
      </c>
      <c r="H904" s="3">
        <f>F903*G905+F904*G906</f>
        <v>0.35268233339496546</v>
      </c>
      <c r="I904" s="3">
        <f>1/(1+EXP(-H904))</f>
        <v>0.58726788629767057</v>
      </c>
      <c r="J904" s="3">
        <f>I904</f>
        <v>0.58726788629767057</v>
      </c>
      <c r="K904" s="3">
        <f>AC888</f>
        <v>0.20840889733712384</v>
      </c>
      <c r="L904" s="3"/>
      <c r="M904" s="3"/>
      <c r="T904" s="3">
        <f t="shared" ref="T904:T910" si="178">$O$19</f>
        <v>0.2</v>
      </c>
      <c r="U904" s="3">
        <f t="shared" ref="U904:U906" si="179">C919</f>
        <v>0.19993097740949181</v>
      </c>
      <c r="V904" s="3">
        <f>T903*U905+T904*U906</f>
        <v>0.13996895219898439</v>
      </c>
      <c r="W904" s="3">
        <f>1/(1+EXP(-V904))</f>
        <v>0.53493522110923875</v>
      </c>
      <c r="X904" s="3">
        <f>W904</f>
        <v>0.53493522110923875</v>
      </c>
      <c r="Y904" s="3">
        <f t="shared" ref="Y904:Y906" si="180">G919</f>
        <v>0.20623479703260428</v>
      </c>
      <c r="Z904" s="3">
        <f>X903*Y905+X904*Y906</f>
        <v>0.3615582475957913</v>
      </c>
      <c r="AA904" s="3">
        <f>1/(1+EXP(-Z904))</f>
        <v>0.58941758945523104</v>
      </c>
      <c r="AB904" s="3">
        <f>AA904</f>
        <v>0.58941758945523104</v>
      </c>
      <c r="AC904" s="3">
        <f>K919</f>
        <v>0.20840889733712384</v>
      </c>
      <c r="AD904" s="3"/>
      <c r="AE904" s="3"/>
    </row>
    <row r="905" spans="1:31" x14ac:dyDescent="0.3">
      <c r="B905" s="3">
        <f>$B$6</f>
        <v>0.1</v>
      </c>
      <c r="C905" s="3">
        <f t="shared" ref="C905:C906" si="181">U889</f>
        <v>0.29992183733668643</v>
      </c>
      <c r="D905" s="3"/>
      <c r="E905" s="3"/>
      <c r="F905" s="3"/>
      <c r="G905" s="3">
        <f t="shared" si="177"/>
        <v>0.29365820933977926</v>
      </c>
      <c r="H905" s="3"/>
      <c r="I905" s="3"/>
      <c r="J905" s="3"/>
      <c r="K905" s="3"/>
      <c r="L905" s="3"/>
      <c r="M905" s="3"/>
      <c r="T905" s="3">
        <f t="shared" si="178"/>
        <v>0.2</v>
      </c>
      <c r="U905" s="3">
        <f t="shared" si="179"/>
        <v>0.29992238049746095</v>
      </c>
      <c r="V905" s="3"/>
      <c r="W905" s="3"/>
      <c r="X905" s="3"/>
      <c r="Y905" s="3">
        <f t="shared" si="180"/>
        <v>0.29347891949300131</v>
      </c>
      <c r="Z905" s="3"/>
      <c r="AA905" s="3"/>
      <c r="AB905" s="3"/>
      <c r="AC905" s="3"/>
      <c r="AD905" s="3"/>
      <c r="AE905" s="3"/>
    </row>
    <row r="906" spans="1:31" x14ac:dyDescent="0.3">
      <c r="B906" s="3">
        <f>$B$7</f>
        <v>0.1</v>
      </c>
      <c r="C906" s="3">
        <f t="shared" si="181"/>
        <v>0.39992183733668646</v>
      </c>
      <c r="D906" s="3"/>
      <c r="E906" s="3"/>
      <c r="F906" s="3"/>
      <c r="G906" s="3">
        <f t="shared" si="177"/>
        <v>0.39353876269903043</v>
      </c>
      <c r="H906" s="3"/>
      <c r="I906" s="3"/>
      <c r="J906" s="3"/>
      <c r="K906" s="3"/>
      <c r="L906" s="3"/>
      <c r="M906" s="3"/>
      <c r="T906" s="3">
        <f t="shared" si="178"/>
        <v>0.2</v>
      </c>
      <c r="U906" s="3">
        <f t="shared" si="179"/>
        <v>0.39992238049746098</v>
      </c>
      <c r="V906" s="3"/>
      <c r="W906" s="3"/>
      <c r="X906" s="3"/>
      <c r="Y906" s="3">
        <f t="shared" si="180"/>
        <v>0.39335594251356937</v>
      </c>
      <c r="Z906" s="3"/>
      <c r="AA906" s="3"/>
      <c r="AB906" s="3"/>
      <c r="AC906" s="3"/>
      <c r="AD906" s="3"/>
      <c r="AE906" s="3"/>
    </row>
    <row r="907" spans="1:31" x14ac:dyDescent="0.3">
      <c r="B907" s="3">
        <f>$B$8</f>
        <v>0.1</v>
      </c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T907" s="3">
        <f t="shared" si="178"/>
        <v>0.2</v>
      </c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 spans="1:31" x14ac:dyDescent="0.3">
      <c r="B908" s="3">
        <f>$B$9</f>
        <v>0.1</v>
      </c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T908" s="3">
        <f t="shared" si="178"/>
        <v>0.2</v>
      </c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 spans="1:31" x14ac:dyDescent="0.3">
      <c r="B909" s="3">
        <f>$B$10</f>
        <v>0.1</v>
      </c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T909" s="3">
        <f t="shared" si="178"/>
        <v>0.2</v>
      </c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 spans="1:31" x14ac:dyDescent="0.3">
      <c r="B910" s="3">
        <f>$B$11</f>
        <v>0.1</v>
      </c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T910" s="3">
        <f t="shared" si="178"/>
        <v>0.2</v>
      </c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2" spans="1:31" x14ac:dyDescent="0.3">
      <c r="A912" s="4" t="s">
        <v>7</v>
      </c>
      <c r="B912" s="5">
        <f>E903 * (1 - E903) * (G903 * F912 + G905 * F913)</f>
        <v>-5.2833237119151226E-5</v>
      </c>
      <c r="C912" s="6"/>
      <c r="D912" s="6"/>
      <c r="E912" s="7"/>
      <c r="F912" s="5">
        <f>I903 * (1 - I903) * K903 *J912</f>
        <v>7.8114591094534157E-3</v>
      </c>
      <c r="G912" s="6"/>
      <c r="H912" s="6"/>
      <c r="I912" s="7"/>
      <c r="J912" s="5">
        <f>$P$18 - M903</f>
        <v>-6.9936241781182518E-2</v>
      </c>
      <c r="K912" s="6"/>
      <c r="L912" s="6"/>
      <c r="M912" s="7"/>
      <c r="S912" s="4" t="s">
        <v>7</v>
      </c>
      <c r="T912" s="5">
        <f>W903 * (1 - W903) * (Y903 * X912 + Y905 * X913)</f>
        <v>2.0478268486128233E-5</v>
      </c>
      <c r="U912" s="6"/>
      <c r="V912" s="6"/>
      <c r="W912" s="7"/>
      <c r="X912" s="5">
        <f>AA903 * (1 - AA903) * AC903 *AB912</f>
        <v>-3.7068501630706427E-3</v>
      </c>
      <c r="Y912" s="6"/>
      <c r="Z912" s="6"/>
      <c r="AA912" s="7"/>
      <c r="AB912" s="5">
        <f>$P$19 - AE903</f>
        <v>3.2121419988888844E-2</v>
      </c>
      <c r="AC912" s="6"/>
      <c r="AD912" s="6"/>
      <c r="AE912" s="7"/>
    </row>
    <row r="913" spans="2:31" x14ac:dyDescent="0.3">
      <c r="B913" s="5">
        <f>E904 * (1 - E904) * (G904 * F912 + G906 * F913)</f>
        <v>5.4316077454902185E-5</v>
      </c>
      <c r="C913" s="6"/>
      <c r="D913" s="6"/>
      <c r="E913" s="7"/>
      <c r="F913" s="5">
        <f>J904 * (1 - J904) * K904 * J912</f>
        <v>-3.5328326128783527E-3</v>
      </c>
      <c r="G913" s="6"/>
      <c r="H913" s="6"/>
      <c r="I913" s="7"/>
      <c r="T913" s="5">
        <f>W904 * (1 - W904) * (Y904 * X912 + Y906 * X913)</f>
        <v>-3.1648832387969837E-5</v>
      </c>
      <c r="U913" s="6"/>
      <c r="V913" s="6"/>
      <c r="W913" s="7"/>
      <c r="X913" s="5">
        <f>AB904 * (1 - AB904) * AC904 * AB912</f>
        <v>1.6200724016772535E-3</v>
      </c>
      <c r="Y913" s="6"/>
      <c r="Z913" s="6"/>
      <c r="AA913" s="7"/>
    </row>
    <row r="915" spans="2:31" x14ac:dyDescent="0.3">
      <c r="B915" s="8" t="s">
        <v>4</v>
      </c>
      <c r="C915" s="8"/>
      <c r="D915" s="8"/>
      <c r="E915" s="8"/>
      <c r="F915" s="8" t="s">
        <v>5</v>
      </c>
      <c r="G915" s="8"/>
      <c r="H915" s="8"/>
      <c r="I915" s="8"/>
      <c r="J915" s="8" t="s">
        <v>6</v>
      </c>
      <c r="K915" s="8"/>
      <c r="L915" s="8"/>
      <c r="M915" s="8"/>
      <c r="T915" s="9" t="s">
        <v>4</v>
      </c>
      <c r="U915" s="10"/>
      <c r="V915" s="10"/>
      <c r="W915" s="11"/>
      <c r="X915" s="9" t="s">
        <v>5</v>
      </c>
      <c r="Y915" s="10"/>
      <c r="Z915" s="10"/>
      <c r="AA915" s="11"/>
      <c r="AB915" s="9" t="s">
        <v>6</v>
      </c>
      <c r="AC915" s="10"/>
      <c r="AD915" s="10"/>
      <c r="AE915" s="11"/>
    </row>
    <row r="916" spans="2:31" x14ac:dyDescent="0.3"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T916" s="12"/>
      <c r="U916" s="13"/>
      <c r="V916" s="13"/>
      <c r="W916" s="14"/>
      <c r="X916" s="12"/>
      <c r="Y916" s="13"/>
      <c r="Z916" s="13"/>
      <c r="AA916" s="14"/>
      <c r="AB916" s="12"/>
      <c r="AC916" s="13"/>
      <c r="AD916" s="13"/>
      <c r="AE916" s="14"/>
    </row>
    <row r="917" spans="2:31" x14ac:dyDescent="0.3">
      <c r="B917" s="3" t="s">
        <v>0</v>
      </c>
      <c r="C917" s="3" t="s">
        <v>1</v>
      </c>
      <c r="D917" s="3" t="s">
        <v>2</v>
      </c>
      <c r="E917" s="3" t="s">
        <v>3</v>
      </c>
      <c r="F917" s="3" t="s">
        <v>0</v>
      </c>
      <c r="G917" s="3" t="s">
        <v>1</v>
      </c>
      <c r="H917" s="3" t="s">
        <v>2</v>
      </c>
      <c r="I917" s="3" t="s">
        <v>3</v>
      </c>
      <c r="J917" s="3" t="s">
        <v>0</v>
      </c>
      <c r="K917" s="3" t="s">
        <v>1</v>
      </c>
      <c r="L917" s="3" t="s">
        <v>2</v>
      </c>
      <c r="M917" s="3" t="s">
        <v>3</v>
      </c>
      <c r="T917" s="3">
        <f>$O$19</f>
        <v>0.2</v>
      </c>
      <c r="U917" s="3" t="s">
        <v>1</v>
      </c>
      <c r="V917" s="3" t="s">
        <v>2</v>
      </c>
      <c r="W917" s="3" t="s">
        <v>3</v>
      </c>
      <c r="X917" s="3" t="s">
        <v>0</v>
      </c>
      <c r="Y917" s="3" t="s">
        <v>1</v>
      </c>
      <c r="Z917" s="3" t="s">
        <v>2</v>
      </c>
      <c r="AA917" s="3" t="s">
        <v>3</v>
      </c>
      <c r="AB917" s="3" t="s">
        <v>0</v>
      </c>
      <c r="AC917" s="3" t="s">
        <v>1</v>
      </c>
      <c r="AD917" s="3" t="s">
        <v>2</v>
      </c>
      <c r="AE917" s="3" t="s">
        <v>3</v>
      </c>
    </row>
    <row r="918" spans="2:31" x14ac:dyDescent="0.3">
      <c r="B918" s="3">
        <f>$B$4</f>
        <v>0.1</v>
      </c>
      <c r="C918" s="3">
        <f>C903 + $O$7 * B903 * B912</f>
        <v>9.9930977409491875E-2</v>
      </c>
      <c r="D918" s="3">
        <f>B918*C918+B919*C919</f>
        <v>2.9986195481898369E-2</v>
      </c>
      <c r="E918" s="3">
        <f>1/(1+EXP(-D918))</f>
        <v>0.50749598719712552</v>
      </c>
      <c r="F918" s="3">
        <f>E918</f>
        <v>0.50749598719712552</v>
      </c>
      <c r="G918" s="3">
        <f>G903 + $O$7 * F903 * F912</f>
        <v>0.10614681756108367</v>
      </c>
      <c r="H918" s="3">
        <f>F918*G918+F919*G919</f>
        <v>0.16059331901999113</v>
      </c>
      <c r="I918" s="3">
        <f>1/(1+EXP(-H918))</f>
        <v>0.5400622655412437</v>
      </c>
      <c r="J918" s="3">
        <f>I918</f>
        <v>0.5400622655412437</v>
      </c>
      <c r="K918" s="3">
        <f>K903 + $P$18 * J903 * J912</f>
        <v>-0.46475319046118058</v>
      </c>
      <c r="L918" s="3">
        <f>J918*K918+J919*K919</f>
        <v>-0.12861318374403635</v>
      </c>
      <c r="M918" s="3">
        <f>1/(1+EXP(-L918))</f>
        <v>0.46789095245219792</v>
      </c>
      <c r="T918" s="3">
        <f t="shared" ref="T918:T924" si="182">$O$19</f>
        <v>0.2</v>
      </c>
      <c r="U918" s="3">
        <f>U903 + $O$7 * T903 * T912</f>
        <v>9.9931386974861591E-2</v>
      </c>
      <c r="V918" s="3">
        <f>T918*U918+T919*U919</f>
        <v>5.9972554789944635E-2</v>
      </c>
      <c r="W918" s="3">
        <f>1/(1+EXP(-V918))</f>
        <v>0.51498864648554443</v>
      </c>
      <c r="X918" s="3">
        <f>W918</f>
        <v>0.51498864648554443</v>
      </c>
      <c r="Y918" s="3">
        <f>Y903 + $O$7 * X903 * X912</f>
        <v>0.10595591900143156</v>
      </c>
      <c r="Z918" s="3">
        <f>X918*Y918+X919*Y919</f>
        <v>0.16478226545986799</v>
      </c>
      <c r="AA918" s="3">
        <f>1/(1+EXP(-Z918))</f>
        <v>0.54110260284521294</v>
      </c>
      <c r="AB918" s="3">
        <f>AA918</f>
        <v>0.54110260284521294</v>
      </c>
      <c r="AC918" s="3">
        <f>AC903 +  $P$19 * AB903 * AB912</f>
        <v>-0.45606188335877668</v>
      </c>
      <c r="AD918" s="3">
        <f>AB918*AC918+AB919*AC919</f>
        <v>-0.12393189771016365</v>
      </c>
      <c r="AE918" s="3">
        <f>1/(1+EXP(-AD918))</f>
        <v>0.46905662068195597</v>
      </c>
    </row>
    <row r="919" spans="2:31" x14ac:dyDescent="0.3">
      <c r="B919" s="3">
        <f>$B$5</f>
        <v>0.1</v>
      </c>
      <c r="C919" s="3">
        <f>C904 + $O$7 * B904 * B912</f>
        <v>0.19993097740949181</v>
      </c>
      <c r="D919" s="3">
        <f>B918*C920+B919*C921</f>
        <v>6.9984476099492196E-2</v>
      </c>
      <c r="E919" s="3">
        <f>1/(1+EXP(-D919))</f>
        <v>0.51748898144052491</v>
      </c>
      <c r="F919" s="3">
        <f>E919</f>
        <v>0.51748898144052491</v>
      </c>
      <c r="G919" s="3">
        <f>G904 + $O$7 * F904 * F912</f>
        <v>0.20623479703260428</v>
      </c>
      <c r="H919" s="3">
        <f>F918*G920+F919*G921</f>
        <v>0.3524967400045711</v>
      </c>
      <c r="I919" s="3">
        <f>1/(1+EXP(-H919))</f>
        <v>0.58722290064220783</v>
      </c>
      <c r="J919" s="3">
        <f>I919</f>
        <v>0.58722290064220783</v>
      </c>
      <c r="K919" s="3">
        <f>K904 + $P$18 * J904 * J913</f>
        <v>0.20840889733712384</v>
      </c>
      <c r="L919" s="3"/>
      <c r="M919" s="3"/>
      <c r="T919" s="3">
        <f t="shared" si="182"/>
        <v>0.2</v>
      </c>
      <c r="U919" s="3">
        <f>U904 + $O$7 * T904 * T912</f>
        <v>0.19993138697486154</v>
      </c>
      <c r="V919" s="3">
        <f>T918*U920+T919*U921</f>
        <v>0.13996869900832529</v>
      </c>
      <c r="W919" s="3">
        <f>1/(1+EXP(-V919))</f>
        <v>0.53493515812058501</v>
      </c>
      <c r="X919" s="3">
        <f>W919</f>
        <v>0.53493515812058501</v>
      </c>
      <c r="Y919" s="3">
        <f>Y904 + $O$7 * X904 * X912</f>
        <v>0.20603650456144418</v>
      </c>
      <c r="Z919" s="3">
        <f>X918*Y920+X919*Y921</f>
        <v>0.36164756058852032</v>
      </c>
      <c r="AA919" s="3">
        <f>1/(1+EXP(-Z919))</f>
        <v>0.58943920342827938</v>
      </c>
      <c r="AB919" s="3">
        <f>AA919</f>
        <v>0.58943920342827938</v>
      </c>
      <c r="AC919" s="3">
        <f>AC904 +  $P$19 * AB904 * AB913</f>
        <v>0.20840889733712384</v>
      </c>
      <c r="AD919" s="3"/>
      <c r="AE919" s="3"/>
    </row>
    <row r="920" spans="2:31" x14ac:dyDescent="0.3">
      <c r="B920" s="3">
        <f>$B$6</f>
        <v>0.1</v>
      </c>
      <c r="C920" s="3">
        <f>C905 + $O$7 * B903 * B913</f>
        <v>0.29992238049746095</v>
      </c>
      <c r="D920" s="3"/>
      <c r="E920" s="3"/>
      <c r="F920" s="3"/>
      <c r="G920" s="3">
        <f>G905 + $O$7 * F903 * F913</f>
        <v>0.29347891949300131</v>
      </c>
      <c r="H920" s="3"/>
      <c r="I920" s="3"/>
      <c r="J920" s="3"/>
      <c r="K920" s="3"/>
      <c r="L920" s="3"/>
      <c r="M920" s="3"/>
      <c r="T920" s="3">
        <f t="shared" si="182"/>
        <v>0.2</v>
      </c>
      <c r="U920" s="3">
        <f>U905 + $O$7 * T903 * T913</f>
        <v>0.29992174752081319</v>
      </c>
      <c r="V920" s="3"/>
      <c r="W920" s="3"/>
      <c r="X920" s="3"/>
      <c r="Y920" s="3">
        <f>Y905 + $O$7 * X903 * X913</f>
        <v>0.29356235137570685</v>
      </c>
      <c r="Z920" s="3"/>
      <c r="AA920" s="3"/>
      <c r="AB920" s="3"/>
      <c r="AC920" s="3"/>
      <c r="AD920" s="3"/>
      <c r="AE920" s="3"/>
    </row>
    <row r="921" spans="2:31" x14ac:dyDescent="0.3">
      <c r="B921" s="3">
        <f>$B$7</f>
        <v>0.1</v>
      </c>
      <c r="C921" s="3">
        <f>C906 + $O$7 * B904* B913</f>
        <v>0.39992238049746098</v>
      </c>
      <c r="D921" s="3"/>
      <c r="E921" s="3"/>
      <c r="F921" s="3"/>
      <c r="G921" s="3">
        <f>G906 + $O$7 * F904* F913</f>
        <v>0.39335594251356937</v>
      </c>
      <c r="H921" s="3"/>
      <c r="I921" s="3"/>
      <c r="J921" s="3"/>
      <c r="K921" s="3"/>
      <c r="L921" s="3"/>
      <c r="M921" s="3"/>
      <c r="T921" s="3">
        <f t="shared" si="182"/>
        <v>0.2</v>
      </c>
      <c r="U921" s="3">
        <f>U906 + $O$7 * T904* T913</f>
        <v>0.39992174752081322</v>
      </c>
      <c r="V921" s="3"/>
      <c r="W921" s="3"/>
      <c r="X921" s="3"/>
      <c r="Y921" s="3">
        <f>Y906 + $O$7 * X904* X913</f>
        <v>0.39344260589240981</v>
      </c>
      <c r="Z921" s="3"/>
      <c r="AA921" s="3"/>
      <c r="AB921" s="3"/>
      <c r="AC921" s="3"/>
      <c r="AD921" s="3"/>
      <c r="AE921" s="3"/>
    </row>
    <row r="922" spans="2:31" x14ac:dyDescent="0.3">
      <c r="B922" s="3">
        <f>$B$8</f>
        <v>0.1</v>
      </c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T922" s="3">
        <f t="shared" si="182"/>
        <v>0.2</v>
      </c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 spans="2:31" x14ac:dyDescent="0.3">
      <c r="B923" s="3">
        <f>$B$9</f>
        <v>0.1</v>
      </c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T923" s="3">
        <f t="shared" si="182"/>
        <v>0.2</v>
      </c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 spans="2:31" x14ac:dyDescent="0.3">
      <c r="B924" s="3">
        <f>$B$10</f>
        <v>0.1</v>
      </c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T924" s="3">
        <f t="shared" si="182"/>
        <v>0.2</v>
      </c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 spans="2:31" x14ac:dyDescent="0.3">
      <c r="B925" s="3">
        <f>$B$11</f>
        <v>0.1</v>
      </c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T925" s="3">
        <f>$B$11</f>
        <v>0.1</v>
      </c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31" spans="1:31" x14ac:dyDescent="0.3">
      <c r="B931" s="8" t="s">
        <v>4</v>
      </c>
      <c r="C931" s="8"/>
      <c r="D931" s="8"/>
      <c r="E931" s="8"/>
      <c r="F931" s="8" t="s">
        <v>5</v>
      </c>
      <c r="G931" s="8"/>
      <c r="H931" s="8"/>
      <c r="I931" s="8"/>
      <c r="J931" s="8" t="s">
        <v>6</v>
      </c>
      <c r="K931" s="8"/>
      <c r="L931" s="8"/>
      <c r="M931" s="8"/>
      <c r="T931" s="9" t="s">
        <v>4</v>
      </c>
      <c r="U931" s="10"/>
      <c r="V931" s="10"/>
      <c r="W931" s="11"/>
      <c r="X931" s="9" t="s">
        <v>5</v>
      </c>
      <c r="Y931" s="10"/>
      <c r="Z931" s="10"/>
      <c r="AA931" s="11"/>
      <c r="AB931" s="9" t="s">
        <v>6</v>
      </c>
      <c r="AC931" s="10"/>
      <c r="AD931" s="10"/>
      <c r="AE931" s="11"/>
    </row>
    <row r="932" spans="1:31" x14ac:dyDescent="0.3"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T932" s="12"/>
      <c r="U932" s="13"/>
      <c r="V932" s="13"/>
      <c r="W932" s="14"/>
      <c r="X932" s="12"/>
      <c r="Y932" s="13"/>
      <c r="Z932" s="13"/>
      <c r="AA932" s="14"/>
      <c r="AB932" s="12"/>
      <c r="AC932" s="13"/>
      <c r="AD932" s="13"/>
      <c r="AE932" s="14"/>
    </row>
    <row r="933" spans="1:31" x14ac:dyDescent="0.3">
      <c r="B933" s="3" t="s">
        <v>0</v>
      </c>
      <c r="C933" s="3" t="s">
        <v>1</v>
      </c>
      <c r="D933" s="3" t="s">
        <v>2</v>
      </c>
      <c r="E933" s="3" t="s">
        <v>3</v>
      </c>
      <c r="F933" s="3" t="s">
        <v>0</v>
      </c>
      <c r="G933" s="3" t="s">
        <v>1</v>
      </c>
      <c r="H933" s="3" t="s">
        <v>2</v>
      </c>
      <c r="I933" s="3" t="s">
        <v>3</v>
      </c>
      <c r="J933" s="3" t="s">
        <v>0</v>
      </c>
      <c r="K933" s="3" t="s">
        <v>1</v>
      </c>
      <c r="L933" s="3" t="s">
        <v>2</v>
      </c>
      <c r="M933" s="3" t="s">
        <v>3</v>
      </c>
      <c r="T933" s="3" t="s">
        <v>0</v>
      </c>
      <c r="U933" s="3" t="s">
        <v>1</v>
      </c>
      <c r="V933" s="3" t="s">
        <v>2</v>
      </c>
      <c r="W933" s="3" t="s">
        <v>3</v>
      </c>
      <c r="X933" s="3" t="s">
        <v>0</v>
      </c>
      <c r="Y933" s="3" t="s">
        <v>1</v>
      </c>
      <c r="Z933" s="3" t="s">
        <v>2</v>
      </c>
      <c r="AA933" s="3" t="s">
        <v>3</v>
      </c>
      <c r="AB933" s="3" t="s">
        <v>0</v>
      </c>
      <c r="AC933" s="3" t="s">
        <v>1</v>
      </c>
      <c r="AD933" s="3" t="s">
        <v>2</v>
      </c>
      <c r="AE933" s="3" t="s">
        <v>3</v>
      </c>
    </row>
    <row r="934" spans="1:31" x14ac:dyDescent="0.3">
      <c r="B934" s="3">
        <f>$B$4</f>
        <v>0.1</v>
      </c>
      <c r="C934" s="3">
        <f>U918</f>
        <v>9.9931386974861591E-2</v>
      </c>
      <c r="D934" s="3">
        <f>B934*C934+B935*C935</f>
        <v>2.9986277394972317E-2</v>
      </c>
      <c r="E934" s="3">
        <f>1/(1+EXP(-D934))</f>
        <v>0.50749600767079128</v>
      </c>
      <c r="F934" s="3">
        <f>E934</f>
        <v>0.50749600767079128</v>
      </c>
      <c r="G934" s="3">
        <f>Y918</f>
        <v>0.10595591900143156</v>
      </c>
      <c r="H934" s="3">
        <f>F934*G934+F935*G935</f>
        <v>0.16039382025454718</v>
      </c>
      <c r="I934" s="3">
        <f>1/(1+EXP(-H934))</f>
        <v>0.54001271064653589</v>
      </c>
      <c r="J934" s="3">
        <f>I934</f>
        <v>0.54001271064653589</v>
      </c>
      <c r="K934" s="3">
        <f>AC918</f>
        <v>-0.45606188335877668</v>
      </c>
      <c r="L934" s="3">
        <f>J934*K934+J935*K935</f>
        <v>-0.1238923325158611</v>
      </c>
      <c r="M934" s="3">
        <f>1/(1+EXP(-L934))</f>
        <v>0.46906647410920799</v>
      </c>
      <c r="T934" s="3">
        <f>$O$19</f>
        <v>0.2</v>
      </c>
      <c r="U934" s="3">
        <f>C949</f>
        <v>9.9930899074301818E-2</v>
      </c>
      <c r="V934" s="3">
        <f>T934*U934+T935*U935</f>
        <v>5.9972359629720723E-2</v>
      </c>
      <c r="W934" s="3">
        <f>1/(1+EXP(-V934))</f>
        <v>0.51498859773933292</v>
      </c>
      <c r="X934" s="3">
        <f>W934</f>
        <v>0.51498859773933292</v>
      </c>
      <c r="Y934" s="3">
        <f>G949</f>
        <v>0.10635299487995604</v>
      </c>
      <c r="Z934" s="3">
        <f>X934*Y934+X935*Y935</f>
        <v>0.16520335446591633</v>
      </c>
      <c r="AA934" s="3">
        <f>1/(1+EXP(-Z934))</f>
        <v>0.54120716188763096</v>
      </c>
      <c r="AB934" s="3">
        <f>AA934</f>
        <v>0.54120716188763096</v>
      </c>
      <c r="AC934" s="3">
        <f>K949</f>
        <v>-0.47098059291818156</v>
      </c>
      <c r="AD934" s="3">
        <f>AB934*AC934+AB935*AC935</f>
        <v>-0.13206316535138798</v>
      </c>
      <c r="AE934" s="3">
        <f>1/(1+EXP(-AD934))</f>
        <v>0.46703210994079097</v>
      </c>
    </row>
    <row r="935" spans="1:31" x14ac:dyDescent="0.3">
      <c r="B935" s="3">
        <f>$B$5</f>
        <v>0.1</v>
      </c>
      <c r="C935" s="3">
        <f>U919</f>
        <v>0.19993138697486154</v>
      </c>
      <c r="D935" s="3">
        <f>B934*C936+B935*C937</f>
        <v>6.9984349504162643E-2</v>
      </c>
      <c r="E935" s="3">
        <f>1/(1+EXP(-D935))</f>
        <v>0.51748894983041338</v>
      </c>
      <c r="F935" s="3">
        <f>E935</f>
        <v>0.51748894983041338</v>
      </c>
      <c r="G935" s="3">
        <f t="shared" ref="G935:G937" si="183">Y919</f>
        <v>0.20603650456144418</v>
      </c>
      <c r="H935" s="3">
        <f>F934*G936+F935*G937</f>
        <v>0.35258392226742563</v>
      </c>
      <c r="I935" s="3">
        <f>1/(1+EXP(-H935))</f>
        <v>0.58724403277899506</v>
      </c>
      <c r="J935" s="3">
        <f>I935</f>
        <v>0.58724403277899506</v>
      </c>
      <c r="K935" s="3">
        <f>AC919</f>
        <v>0.20840889733712384</v>
      </c>
      <c r="L935" s="3"/>
      <c r="M935" s="3"/>
      <c r="T935" s="3">
        <f t="shared" ref="T935:T941" si="184">$O$19</f>
        <v>0.2</v>
      </c>
      <c r="U935" s="3">
        <f t="shared" ref="U935:U937" si="185">C950</f>
        <v>0.19993089907430178</v>
      </c>
      <c r="V935" s="3">
        <f>T934*U936+T935*U937</f>
        <v>0.13996893808573613</v>
      </c>
      <c r="W935" s="3">
        <f>1/(1+EXP(-V935))</f>
        <v>0.53493521759815155</v>
      </c>
      <c r="X935" s="3">
        <f>W935</f>
        <v>0.53493521759815155</v>
      </c>
      <c r="Y935" s="3">
        <f t="shared" ref="Y935:Y937" si="186">G950</f>
        <v>0.20644139913455364</v>
      </c>
      <c r="Z935" s="3">
        <f>X934*Y936+X935*Y937</f>
        <v>0.36145980183103199</v>
      </c>
      <c r="AA935" s="3">
        <f>1/(1+EXP(-Z935))</f>
        <v>0.58939376492797257</v>
      </c>
      <c r="AB935" s="3">
        <f>AA935</f>
        <v>0.58939376492797257</v>
      </c>
      <c r="AC935" s="3">
        <f>K950</f>
        <v>0.20840889733712384</v>
      </c>
      <c r="AD935" s="3"/>
      <c r="AE935" s="3"/>
    </row>
    <row r="936" spans="1:31" x14ac:dyDescent="0.3">
      <c r="B936" s="3">
        <f>$B$6</f>
        <v>0.1</v>
      </c>
      <c r="C936" s="3">
        <f t="shared" ref="C936:C937" si="187">U920</f>
        <v>0.29992174752081319</v>
      </c>
      <c r="D936" s="3"/>
      <c r="E936" s="3"/>
      <c r="F936" s="3"/>
      <c r="G936" s="3">
        <f t="shared" si="183"/>
        <v>0.29356235137570685</v>
      </c>
      <c r="H936" s="3"/>
      <c r="I936" s="3"/>
      <c r="J936" s="3"/>
      <c r="K936" s="3"/>
      <c r="L936" s="3"/>
      <c r="M936" s="3"/>
      <c r="T936" s="3">
        <f t="shared" si="184"/>
        <v>0.2</v>
      </c>
      <c r="U936" s="3">
        <f t="shared" si="185"/>
        <v>0.29992234521434025</v>
      </c>
      <c r="V936" s="3"/>
      <c r="W936" s="3"/>
      <c r="X936" s="3"/>
      <c r="Y936" s="3">
        <f t="shared" si="186"/>
        <v>0.29338528824269766</v>
      </c>
      <c r="Z936" s="3"/>
      <c r="AA936" s="3"/>
      <c r="AB936" s="3"/>
      <c r="AC936" s="3"/>
      <c r="AD936" s="3"/>
      <c r="AE936" s="3"/>
    </row>
    <row r="937" spans="1:31" x14ac:dyDescent="0.3">
      <c r="B937" s="3">
        <f>$B$7</f>
        <v>0.1</v>
      </c>
      <c r="C937" s="3">
        <f t="shared" si="187"/>
        <v>0.39992174752081322</v>
      </c>
      <c r="D937" s="3"/>
      <c r="E937" s="3"/>
      <c r="F937" s="3"/>
      <c r="G937" s="3">
        <f t="shared" si="183"/>
        <v>0.39344260589240981</v>
      </c>
      <c r="H937" s="3"/>
      <c r="I937" s="3"/>
      <c r="J937" s="3"/>
      <c r="K937" s="3"/>
      <c r="L937" s="3"/>
      <c r="M937" s="3"/>
      <c r="T937" s="3">
        <f t="shared" si="184"/>
        <v>0.2</v>
      </c>
      <c r="U937" s="3">
        <f t="shared" si="185"/>
        <v>0.39992234521434028</v>
      </c>
      <c r="V937" s="3"/>
      <c r="W937" s="3"/>
      <c r="X937" s="3"/>
      <c r="Y937" s="3">
        <f t="shared" si="186"/>
        <v>0.39326205626567456</v>
      </c>
      <c r="Z937" s="3"/>
      <c r="AA937" s="3"/>
      <c r="AB937" s="3"/>
      <c r="AC937" s="3"/>
      <c r="AD937" s="3"/>
      <c r="AE937" s="3"/>
    </row>
    <row r="938" spans="1:31" x14ac:dyDescent="0.3">
      <c r="B938" s="3">
        <f>$B$8</f>
        <v>0.1</v>
      </c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T938" s="3">
        <f t="shared" si="184"/>
        <v>0.2</v>
      </c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</row>
    <row r="939" spans="1:31" x14ac:dyDescent="0.3">
      <c r="B939" s="3">
        <f>$B$9</f>
        <v>0.1</v>
      </c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T939" s="3">
        <f t="shared" si="184"/>
        <v>0.2</v>
      </c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</row>
    <row r="940" spans="1:31" x14ac:dyDescent="0.3">
      <c r="B940" s="3">
        <f>$B$10</f>
        <v>0.1</v>
      </c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T940" s="3">
        <f t="shared" si="184"/>
        <v>0.2</v>
      </c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</row>
    <row r="941" spans="1:31" x14ac:dyDescent="0.3">
      <c r="B941" s="3">
        <f>$B$11</f>
        <v>0.1</v>
      </c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T941" s="3">
        <f t="shared" si="184"/>
        <v>0.2</v>
      </c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</row>
    <row r="943" spans="1:31" x14ac:dyDescent="0.3">
      <c r="A943" s="4" t="s">
        <v>7</v>
      </c>
      <c r="B943" s="5">
        <f>E934 * (1 - E934) * (G934 * F943 + G936 * F944)</f>
        <v>-4.8790055976660914E-5</v>
      </c>
      <c r="C943" s="6"/>
      <c r="D943" s="6"/>
      <c r="E943" s="7"/>
      <c r="F943" s="5">
        <f>I934 * (1 - I934) * K934 *J943</f>
        <v>7.8242167923035458E-3</v>
      </c>
      <c r="G943" s="6"/>
      <c r="H943" s="6"/>
      <c r="I943" s="7"/>
      <c r="J943" s="5">
        <f>$P$18 - M934</f>
        <v>-6.9066474109207965E-2</v>
      </c>
      <c r="K943" s="6"/>
      <c r="L943" s="6"/>
      <c r="M943" s="7"/>
      <c r="S943" s="4" t="s">
        <v>7</v>
      </c>
      <c r="T943" s="5">
        <f>W934 * (1 - W934) * (Y934 * X943 + Y936 * X944)</f>
        <v>1.9432868376458593E-5</v>
      </c>
      <c r="U943" s="6"/>
      <c r="V943" s="6"/>
      <c r="W943" s="7"/>
      <c r="X943" s="5">
        <f>AA934 * (1 - AA934) * AC934 *AB943</f>
        <v>-3.8554433856370384E-3</v>
      </c>
      <c r="Y943" s="6"/>
      <c r="Z943" s="6"/>
      <c r="AA943" s="7"/>
      <c r="AB943" s="5">
        <f>$P$19 - AE934</f>
        <v>3.2967890059209026E-2</v>
      </c>
      <c r="AC943" s="6"/>
      <c r="AD943" s="6"/>
      <c r="AE943" s="7"/>
    </row>
    <row r="944" spans="1:31" x14ac:dyDescent="0.3">
      <c r="B944" s="5">
        <f>E935 * (1 - E935) * (G935 * F943 + G937 * F944)</f>
        <v>5.9769352707820446E-5</v>
      </c>
      <c r="C944" s="6"/>
      <c r="D944" s="6"/>
      <c r="E944" s="7"/>
      <c r="F944" s="5">
        <f>J935 * (1 - J935) * K935 * J943</f>
        <v>-3.4889561756716769E-3</v>
      </c>
      <c r="G944" s="6"/>
      <c r="H944" s="6"/>
      <c r="I944" s="7"/>
      <c r="T944" s="5">
        <f>W935 * (1 - W935) * (Y935 * X943 + Y937 * X944)</f>
        <v>-3.5329002738688698E-5</v>
      </c>
      <c r="U944" s="6"/>
      <c r="V944" s="6"/>
      <c r="W944" s="7"/>
      <c r="X944" s="5">
        <f>AB935 * (1 - AB935) * AC935 * AB943</f>
        <v>1.6627941432136766E-3</v>
      </c>
      <c r="Y944" s="6"/>
      <c r="Z944" s="6"/>
      <c r="AA944" s="7"/>
    </row>
    <row r="946" spans="2:31" x14ac:dyDescent="0.3">
      <c r="B946" s="8" t="s">
        <v>4</v>
      </c>
      <c r="C946" s="8"/>
      <c r="D946" s="8"/>
      <c r="E946" s="8"/>
      <c r="F946" s="8" t="s">
        <v>5</v>
      </c>
      <c r="G946" s="8"/>
      <c r="H946" s="8"/>
      <c r="I946" s="8"/>
      <c r="J946" s="8" t="s">
        <v>6</v>
      </c>
      <c r="K946" s="8"/>
      <c r="L946" s="8"/>
      <c r="M946" s="8"/>
      <c r="T946" s="9" t="s">
        <v>4</v>
      </c>
      <c r="U946" s="10"/>
      <c r="V946" s="10"/>
      <c r="W946" s="11"/>
      <c r="X946" s="9" t="s">
        <v>5</v>
      </c>
      <c r="Y946" s="10"/>
      <c r="Z946" s="10"/>
      <c r="AA946" s="11"/>
      <c r="AB946" s="9" t="s">
        <v>6</v>
      </c>
      <c r="AC946" s="10"/>
      <c r="AD946" s="10"/>
      <c r="AE946" s="11"/>
    </row>
    <row r="947" spans="2:31" x14ac:dyDescent="0.3"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T947" s="12"/>
      <c r="U947" s="13"/>
      <c r="V947" s="13"/>
      <c r="W947" s="14"/>
      <c r="X947" s="12"/>
      <c r="Y947" s="13"/>
      <c r="Z947" s="13"/>
      <c r="AA947" s="14"/>
      <c r="AB947" s="12"/>
      <c r="AC947" s="13"/>
      <c r="AD947" s="13"/>
      <c r="AE947" s="14"/>
    </row>
    <row r="948" spans="2:31" x14ac:dyDescent="0.3">
      <c r="B948" s="3" t="s">
        <v>0</v>
      </c>
      <c r="C948" s="3" t="s">
        <v>1</v>
      </c>
      <c r="D948" s="3" t="s">
        <v>2</v>
      </c>
      <c r="E948" s="3" t="s">
        <v>3</v>
      </c>
      <c r="F948" s="3" t="s">
        <v>0</v>
      </c>
      <c r="G948" s="3" t="s">
        <v>1</v>
      </c>
      <c r="H948" s="3" t="s">
        <v>2</v>
      </c>
      <c r="I948" s="3" t="s">
        <v>3</v>
      </c>
      <c r="J948" s="3" t="s">
        <v>0</v>
      </c>
      <c r="K948" s="3" t="s">
        <v>1</v>
      </c>
      <c r="L948" s="3" t="s">
        <v>2</v>
      </c>
      <c r="M948" s="3" t="s">
        <v>3</v>
      </c>
      <c r="T948" s="3">
        <f>$O$19</f>
        <v>0.2</v>
      </c>
      <c r="U948" s="3" t="s">
        <v>1</v>
      </c>
      <c r="V948" s="3" t="s">
        <v>2</v>
      </c>
      <c r="W948" s="3" t="s">
        <v>3</v>
      </c>
      <c r="X948" s="3" t="s">
        <v>0</v>
      </c>
      <c r="Y948" s="3" t="s">
        <v>1</v>
      </c>
      <c r="Z948" s="3" t="s">
        <v>2</v>
      </c>
      <c r="AA948" s="3" t="s">
        <v>3</v>
      </c>
      <c r="AB948" s="3" t="s">
        <v>0</v>
      </c>
      <c r="AC948" s="3" t="s">
        <v>1</v>
      </c>
      <c r="AD948" s="3" t="s">
        <v>2</v>
      </c>
      <c r="AE948" s="3" t="s">
        <v>3</v>
      </c>
    </row>
    <row r="949" spans="2:31" x14ac:dyDescent="0.3">
      <c r="B949" s="3">
        <f>$B$4</f>
        <v>0.1</v>
      </c>
      <c r="C949" s="3">
        <f>C934 + $O$7 * B934 * B943</f>
        <v>9.9930899074301818E-2</v>
      </c>
      <c r="D949" s="3">
        <f>B949*C949+B950*C950</f>
        <v>2.9986179814860361E-2</v>
      </c>
      <c r="E949" s="3">
        <f>1/(1+EXP(-D949))</f>
        <v>0.50749598328124634</v>
      </c>
      <c r="F949" s="3">
        <f>E949</f>
        <v>0.50749598328124634</v>
      </c>
      <c r="G949" s="3">
        <f>G934 + $O$7 * F934 * F943</f>
        <v>0.10635299487995604</v>
      </c>
      <c r="H949" s="3">
        <f>F949*G949+F950*G950</f>
        <v>0.16080486671305638</v>
      </c>
      <c r="I949" s="3">
        <f>1/(1+EXP(-H949))</f>
        <v>0.54011481248807491</v>
      </c>
      <c r="J949" s="3">
        <f>I949</f>
        <v>0.54011481248807491</v>
      </c>
      <c r="K949" s="3">
        <f>K934 + $P$18 * J934 * J943</f>
        <v>-0.47098059291818156</v>
      </c>
      <c r="L949" s="3">
        <f>J949*K949+J950*K950</f>
        <v>-0.13200597233310229</v>
      </c>
      <c r="M949" s="3">
        <f>1/(1+EXP(-L949))</f>
        <v>0.46704634606015194</v>
      </c>
      <c r="T949" s="3">
        <f t="shared" ref="T949:T955" si="188">$O$19</f>
        <v>0.2</v>
      </c>
      <c r="U949" s="3">
        <f>U934 + $O$7 * T934 * T943</f>
        <v>9.9931287731669344E-2</v>
      </c>
      <c r="V949" s="3">
        <f>T949*U949+T950*U950</f>
        <v>5.9972515092667739E-2</v>
      </c>
      <c r="W949" s="3">
        <f>1/(1+EXP(-V949))</f>
        <v>0.5149886365701436</v>
      </c>
      <c r="X949" s="3">
        <f>W949</f>
        <v>0.5149886365701436</v>
      </c>
      <c r="Y949" s="3">
        <f>Y934 + $O$7 * X934 * X943</f>
        <v>0.10615444394167278</v>
      </c>
      <c r="Z949" s="3">
        <f>X949*Y949+X950*Y950</f>
        <v>0.1649907669125866</v>
      </c>
      <c r="AA949" s="3">
        <f>1/(1+EXP(-Z949))</f>
        <v>0.54115437551716561</v>
      </c>
      <c r="AB949" s="3">
        <f>AA949</f>
        <v>0.54115437551716561</v>
      </c>
      <c r="AC949" s="3">
        <f>AC934 +  $P$19 * AB934 * AB943</f>
        <v>-0.46205936381199758</v>
      </c>
      <c r="AD949" s="3">
        <f>AB949*AC949+AB950*AC950</f>
        <v>-0.12720591857801916</v>
      </c>
      <c r="AE949" s="3">
        <f>1/(1+EXP(-AD949))</f>
        <v>0.46824133364055415</v>
      </c>
    </row>
    <row r="950" spans="2:31" x14ac:dyDescent="0.3">
      <c r="B950" s="3">
        <f>$B$5</f>
        <v>0.1</v>
      </c>
      <c r="C950" s="3">
        <f>C935 + $O$7 * B935 * B943</f>
        <v>0.19993089907430178</v>
      </c>
      <c r="D950" s="3">
        <f>B949*C951+B950*C952</f>
        <v>6.9984469042868064E-2</v>
      </c>
      <c r="E950" s="3">
        <f>1/(1+EXP(-D950))</f>
        <v>0.51748897967852714</v>
      </c>
      <c r="F950" s="3">
        <f>E950</f>
        <v>0.51748897967852714</v>
      </c>
      <c r="G950" s="3">
        <f>G935 + $O$7 * F935 * F943</f>
        <v>0.20644139913455364</v>
      </c>
      <c r="H950" s="3">
        <f>F949*G951+F950*G952</f>
        <v>0.3524006355801832</v>
      </c>
      <c r="I950" s="3">
        <f>1/(1+EXP(-H950))</f>
        <v>0.58719960548740247</v>
      </c>
      <c r="J950" s="3">
        <f>I950</f>
        <v>0.58719960548740247</v>
      </c>
      <c r="K950" s="3">
        <f>K935 + $P$18 * J935 * J944</f>
        <v>0.20840889733712384</v>
      </c>
      <c r="L950" s="3"/>
      <c r="M950" s="3"/>
      <c r="T950" s="3">
        <f t="shared" si="188"/>
        <v>0.2</v>
      </c>
      <c r="U950" s="3">
        <f>U935 + $O$7 * T935 * T943</f>
        <v>0.19993128773166932</v>
      </c>
      <c r="V950" s="3">
        <f>T949*U951+T950*U952</f>
        <v>0.13996865545371417</v>
      </c>
      <c r="W950" s="3">
        <f>1/(1+EXP(-V950))</f>
        <v>0.53493514728508906</v>
      </c>
      <c r="X950" s="3">
        <f>W950</f>
        <v>0.53493514728508906</v>
      </c>
      <c r="Y950" s="3">
        <f>Y935 + $O$7 * X935 * X943</f>
        <v>0.20623515788991034</v>
      </c>
      <c r="Z950" s="3">
        <f>X949*Y951+X950*Y952</f>
        <v>0.36155146687392042</v>
      </c>
      <c r="AA950" s="3">
        <f>1/(1+EXP(-Z950))</f>
        <v>0.58941594848906609</v>
      </c>
      <c r="AB950" s="3">
        <f>AA950</f>
        <v>0.58941594848906609</v>
      </c>
      <c r="AC950" s="3">
        <f>AC935 +  $P$19 * AB935 * AB944</f>
        <v>0.20840889733712384</v>
      </c>
      <c r="AD950" s="3"/>
      <c r="AE950" s="3"/>
    </row>
    <row r="951" spans="2:31" x14ac:dyDescent="0.3">
      <c r="B951" s="3">
        <f>$B$6</f>
        <v>0.1</v>
      </c>
      <c r="C951" s="3">
        <f>C936 + $O$7 * B934 * B944</f>
        <v>0.29992234521434025</v>
      </c>
      <c r="D951" s="3"/>
      <c r="E951" s="3"/>
      <c r="F951" s="3"/>
      <c r="G951" s="3">
        <f>G936 + $O$7 * F934 * F944</f>
        <v>0.29338528824269766</v>
      </c>
      <c r="H951" s="3"/>
      <c r="I951" s="3"/>
      <c r="J951" s="3"/>
      <c r="K951" s="3"/>
      <c r="L951" s="3"/>
      <c r="M951" s="3"/>
      <c r="T951" s="3">
        <f t="shared" si="188"/>
        <v>0.2</v>
      </c>
      <c r="U951" s="3">
        <f>U936 + $O$7 * T934 * T944</f>
        <v>0.29992163863428545</v>
      </c>
      <c r="V951" s="3"/>
      <c r="W951" s="3"/>
      <c r="X951" s="3"/>
      <c r="Y951" s="3">
        <f>Y936 + $O$7 * X934 * X944</f>
        <v>0.29347092024511195</v>
      </c>
      <c r="Z951" s="3"/>
      <c r="AA951" s="3"/>
      <c r="AB951" s="3"/>
      <c r="AC951" s="3"/>
      <c r="AD951" s="3"/>
      <c r="AE951" s="3"/>
    </row>
    <row r="952" spans="2:31" x14ac:dyDescent="0.3">
      <c r="B952" s="3">
        <f>$B$7</f>
        <v>0.1</v>
      </c>
      <c r="C952" s="3">
        <f>C937 + $O$7 * B935* B944</f>
        <v>0.39992234521434028</v>
      </c>
      <c r="D952" s="3"/>
      <c r="E952" s="3"/>
      <c r="F952" s="3"/>
      <c r="G952" s="3">
        <f>G937 + $O$7 * F935* F944</f>
        <v>0.39326205626567456</v>
      </c>
      <c r="H952" s="3"/>
      <c r="I952" s="3"/>
      <c r="J952" s="3"/>
      <c r="K952" s="3"/>
      <c r="L952" s="3"/>
      <c r="M952" s="3"/>
      <c r="T952" s="3">
        <f t="shared" si="188"/>
        <v>0.2</v>
      </c>
      <c r="U952" s="3">
        <f>U937 + $O$7 * T935* T944</f>
        <v>0.39992163863428548</v>
      </c>
      <c r="V952" s="3"/>
      <c r="W952" s="3"/>
      <c r="X952" s="3"/>
      <c r="Y952" s="3">
        <f>Y937 + $O$7 * X935* X944</f>
        <v>0.39335100498035663</v>
      </c>
      <c r="Z952" s="3"/>
      <c r="AA952" s="3"/>
      <c r="AB952" s="3"/>
      <c r="AC952" s="3"/>
      <c r="AD952" s="3"/>
      <c r="AE952" s="3"/>
    </row>
    <row r="953" spans="2:31" x14ac:dyDescent="0.3">
      <c r="B953" s="3">
        <f>$B$8</f>
        <v>0.1</v>
      </c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T953" s="3">
        <f t="shared" si="188"/>
        <v>0.2</v>
      </c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</row>
    <row r="954" spans="2:31" x14ac:dyDescent="0.3">
      <c r="B954" s="3">
        <f>$B$9</f>
        <v>0.1</v>
      </c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T954" s="3">
        <f t="shared" si="188"/>
        <v>0.2</v>
      </c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</row>
    <row r="955" spans="2:31" x14ac:dyDescent="0.3">
      <c r="B955" s="3">
        <f>$B$10</f>
        <v>0.1</v>
      </c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T955" s="3">
        <f t="shared" si="188"/>
        <v>0.2</v>
      </c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</row>
    <row r="956" spans="2:31" x14ac:dyDescent="0.3">
      <c r="B956" s="3">
        <f>$B$11</f>
        <v>0.1</v>
      </c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T956" s="3">
        <f>$B$11</f>
        <v>0.1</v>
      </c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</row>
    <row r="962" spans="1:31" x14ac:dyDescent="0.3">
      <c r="B962" s="8" t="s">
        <v>4</v>
      </c>
      <c r="C962" s="8"/>
      <c r="D962" s="8"/>
      <c r="E962" s="8"/>
      <c r="F962" s="8" t="s">
        <v>5</v>
      </c>
      <c r="G962" s="8"/>
      <c r="H962" s="8"/>
      <c r="I962" s="8"/>
      <c r="J962" s="8" t="s">
        <v>6</v>
      </c>
      <c r="K962" s="8"/>
      <c r="L962" s="8"/>
      <c r="M962" s="8"/>
      <c r="T962" s="9" t="s">
        <v>4</v>
      </c>
      <c r="U962" s="10"/>
      <c r="V962" s="10"/>
      <c r="W962" s="11"/>
      <c r="X962" s="9" t="s">
        <v>5</v>
      </c>
      <c r="Y962" s="10"/>
      <c r="Z962" s="10"/>
      <c r="AA962" s="11"/>
      <c r="AB962" s="9" t="s">
        <v>6</v>
      </c>
      <c r="AC962" s="10"/>
      <c r="AD962" s="10"/>
      <c r="AE962" s="11"/>
    </row>
    <row r="963" spans="1:31" x14ac:dyDescent="0.3"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T963" s="12"/>
      <c r="U963" s="13"/>
      <c r="V963" s="13"/>
      <c r="W963" s="14"/>
      <c r="X963" s="12"/>
      <c r="Y963" s="13"/>
      <c r="Z963" s="13"/>
      <c r="AA963" s="14"/>
      <c r="AB963" s="12"/>
      <c r="AC963" s="13"/>
      <c r="AD963" s="13"/>
      <c r="AE963" s="14"/>
    </row>
    <row r="964" spans="1:31" x14ac:dyDescent="0.3">
      <c r="B964" s="3" t="s">
        <v>0</v>
      </c>
      <c r="C964" s="3" t="s">
        <v>1</v>
      </c>
      <c r="D964" s="3" t="s">
        <v>2</v>
      </c>
      <c r="E964" s="3" t="s">
        <v>3</v>
      </c>
      <c r="F964" s="3" t="s">
        <v>0</v>
      </c>
      <c r="G964" s="3" t="s">
        <v>1</v>
      </c>
      <c r="H964" s="3" t="s">
        <v>2</v>
      </c>
      <c r="I964" s="3" t="s">
        <v>3</v>
      </c>
      <c r="J964" s="3" t="s">
        <v>0</v>
      </c>
      <c r="K964" s="3" t="s">
        <v>1</v>
      </c>
      <c r="L964" s="3" t="s">
        <v>2</v>
      </c>
      <c r="M964" s="3" t="s">
        <v>3</v>
      </c>
      <c r="T964" s="3" t="s">
        <v>0</v>
      </c>
      <c r="U964" s="3" t="s">
        <v>1</v>
      </c>
      <c r="V964" s="3" t="s">
        <v>2</v>
      </c>
      <c r="W964" s="3" t="s">
        <v>3</v>
      </c>
      <c r="X964" s="3" t="s">
        <v>0</v>
      </c>
      <c r="Y964" s="3" t="s">
        <v>1</v>
      </c>
      <c r="Z964" s="3" t="s">
        <v>2</v>
      </c>
      <c r="AA964" s="3" t="s">
        <v>3</v>
      </c>
      <c r="AB964" s="3" t="s">
        <v>0</v>
      </c>
      <c r="AC964" s="3" t="s">
        <v>1</v>
      </c>
      <c r="AD964" s="3" t="s">
        <v>2</v>
      </c>
      <c r="AE964" s="3" t="s">
        <v>3</v>
      </c>
    </row>
    <row r="965" spans="1:31" x14ac:dyDescent="0.3">
      <c r="B965" s="3">
        <f>$B$4</f>
        <v>0.1</v>
      </c>
      <c r="C965" s="3">
        <f>U949</f>
        <v>9.9931287731669344E-2</v>
      </c>
      <c r="D965" s="3">
        <f>B965*C965+B966*C966</f>
        <v>2.9986257546333869E-2</v>
      </c>
      <c r="E965" s="3">
        <f>1/(1+EXP(-D965))</f>
        <v>0.50749600270974704</v>
      </c>
      <c r="F965" s="3">
        <f>E965</f>
        <v>0.50749600270974704</v>
      </c>
      <c r="G965" s="3">
        <f>Y949</f>
        <v>0.10615444394167278</v>
      </c>
      <c r="H965" s="3">
        <f>F965*G965+F966*G966</f>
        <v>0.16059737012339625</v>
      </c>
      <c r="I965" s="3">
        <f>1/(1+EXP(-H965))</f>
        <v>0.54006327181497094</v>
      </c>
      <c r="J965" s="3">
        <f>I965</f>
        <v>0.54006327181497094</v>
      </c>
      <c r="K965" s="3">
        <f>AC949</f>
        <v>-0.46205936381199758</v>
      </c>
      <c r="L965" s="3">
        <f>J965*K965+J966*K966</f>
        <v>-0.12715914923845995</v>
      </c>
      <c r="M965" s="3">
        <f>1/(1+EXP(-L965))</f>
        <v>0.46825297882058003</v>
      </c>
      <c r="T965" s="3">
        <f>$O$19</f>
        <v>0.2</v>
      </c>
      <c r="U965" s="3">
        <f>C980</f>
        <v>9.9930837105817724E-2</v>
      </c>
      <c r="V965" s="3">
        <f>T965*U965+T966*U966</f>
        <v>5.9972334842327092E-2</v>
      </c>
      <c r="W965" s="3">
        <f>1/(1+EXP(-V965))</f>
        <v>0.51498859154805321</v>
      </c>
      <c r="X965" s="3">
        <f>W965</f>
        <v>0.51498859154805321</v>
      </c>
      <c r="Y965" s="3">
        <f>G980</f>
        <v>0.10655199667771914</v>
      </c>
      <c r="Z965" s="3">
        <f>X965*Y965+X966*Y966</f>
        <v>0.16541236302055984</v>
      </c>
      <c r="AA965" s="3">
        <f>1/(1+EXP(-Z965))</f>
        <v>0.5412590586762982</v>
      </c>
      <c r="AB965" s="3">
        <f>AA965</f>
        <v>0.5412590586762982</v>
      </c>
      <c r="AC965" s="3">
        <f>K980</f>
        <v>-0.47680373463318171</v>
      </c>
      <c r="AD965" s="3">
        <f>AB965*AC965+AB966*AC966</f>
        <v>-0.1352441710848776</v>
      </c>
      <c r="AE965" s="3">
        <f>1/(1+EXP(-AD965))</f>
        <v>0.46624039957966734</v>
      </c>
    </row>
    <row r="966" spans="1:31" x14ac:dyDescent="0.3">
      <c r="B966" s="3">
        <f>$B$5</f>
        <v>0.1</v>
      </c>
      <c r="C966" s="3">
        <f>U950</f>
        <v>0.19993128773166932</v>
      </c>
      <c r="D966" s="3">
        <f>B965*C967+B966*C968</f>
        <v>6.9984327726857087E-2</v>
      </c>
      <c r="E966" s="3">
        <f>1/(1+EXP(-D966))</f>
        <v>0.51748894439274784</v>
      </c>
      <c r="F966" s="3">
        <f>E966</f>
        <v>0.51748894439274784</v>
      </c>
      <c r="G966" s="3">
        <f t="shared" ref="G966:G968" si="189">Y950</f>
        <v>0.20623515788991034</v>
      </c>
      <c r="H966" s="3">
        <f>F965*G967+F966*G968</f>
        <v>0.35249011527905655</v>
      </c>
      <c r="I966" s="3">
        <f>1/(1+EXP(-H966))</f>
        <v>0.58722129485971586</v>
      </c>
      <c r="J966" s="3">
        <f>I966</f>
        <v>0.58722129485971586</v>
      </c>
      <c r="K966" s="3">
        <f>AC950</f>
        <v>0.20840889733712384</v>
      </c>
      <c r="L966" s="3"/>
      <c r="M966" s="3"/>
      <c r="T966" s="3">
        <f t="shared" ref="T966:T972" si="190">$O$19</f>
        <v>0.2</v>
      </c>
      <c r="U966" s="3">
        <f t="shared" ref="U966:U968" si="191">C981</f>
        <v>0.19993083710581772</v>
      </c>
      <c r="V966" s="3">
        <f>T965*U967+T966*U968</f>
        <v>0.1399689144608206</v>
      </c>
      <c r="W966" s="3">
        <f>1/(1+EXP(-V966))</f>
        <v>0.53493521172075609</v>
      </c>
      <c r="X966" s="3">
        <f>W966</f>
        <v>0.53493521172075609</v>
      </c>
      <c r="Y966" s="3">
        <f t="shared" ref="Y966:Y968" si="192">G981</f>
        <v>0.20664053870989432</v>
      </c>
      <c r="Z966" s="3">
        <f>X965*Y967+X966*Y968</f>
        <v>0.3613659197380491</v>
      </c>
      <c r="AA966" s="3">
        <f>1/(1+EXP(-Z966))</f>
        <v>0.58937104444888821</v>
      </c>
      <c r="AB966" s="3">
        <f>AA966</f>
        <v>0.58937104444888821</v>
      </c>
      <c r="AC966" s="3">
        <f>K981</f>
        <v>0.20840889733712384</v>
      </c>
      <c r="AD966" s="3"/>
      <c r="AE966" s="3"/>
    </row>
    <row r="967" spans="1:31" x14ac:dyDescent="0.3">
      <c r="B967" s="3">
        <f>$B$6</f>
        <v>0.1</v>
      </c>
      <c r="C967" s="3">
        <f t="shared" ref="C967:C968" si="193">U951</f>
        <v>0.29992163863428545</v>
      </c>
      <c r="D967" s="3"/>
      <c r="E967" s="3"/>
      <c r="F967" s="3"/>
      <c r="G967" s="3">
        <f t="shared" si="189"/>
        <v>0.29347092024511195</v>
      </c>
      <c r="H967" s="3"/>
      <c r="I967" s="3"/>
      <c r="J967" s="3"/>
      <c r="K967" s="3"/>
      <c r="L967" s="3"/>
      <c r="M967" s="3"/>
      <c r="T967" s="3">
        <f t="shared" si="190"/>
        <v>0.2</v>
      </c>
      <c r="U967" s="3">
        <f t="shared" si="191"/>
        <v>0.29992228615205152</v>
      </c>
      <c r="V967" s="3"/>
      <c r="W967" s="3"/>
      <c r="X967" s="3"/>
      <c r="Y967" s="3">
        <f t="shared" si="192"/>
        <v>0.29329593977749924</v>
      </c>
      <c r="Z967" s="3"/>
      <c r="AA967" s="3"/>
      <c r="AB967" s="3"/>
      <c r="AC967" s="3"/>
      <c r="AD967" s="3"/>
      <c r="AE967" s="3"/>
    </row>
    <row r="968" spans="1:31" x14ac:dyDescent="0.3">
      <c r="B968" s="3">
        <f>$B$7</f>
        <v>0.1</v>
      </c>
      <c r="C968" s="3">
        <f t="shared" si="193"/>
        <v>0.39992163863428548</v>
      </c>
      <c r="D968" s="3"/>
      <c r="E968" s="3"/>
      <c r="F968" s="3"/>
      <c r="G968" s="3">
        <f t="shared" si="189"/>
        <v>0.39335100498035663</v>
      </c>
      <c r="H968" s="3"/>
      <c r="I968" s="3"/>
      <c r="J968" s="3"/>
      <c r="K968" s="3"/>
      <c r="L968" s="3"/>
      <c r="M968" s="3"/>
      <c r="T968" s="3">
        <f t="shared" si="190"/>
        <v>0.2</v>
      </c>
      <c r="U968" s="3">
        <f t="shared" si="191"/>
        <v>0.39992228615205155</v>
      </c>
      <c r="V968" s="3"/>
      <c r="W968" s="3"/>
      <c r="X968" s="3"/>
      <c r="Y968" s="3">
        <f t="shared" si="192"/>
        <v>0.39317257902824909</v>
      </c>
      <c r="Z968" s="3"/>
      <c r="AA968" s="3"/>
      <c r="AB968" s="3"/>
      <c r="AC968" s="3"/>
      <c r="AD968" s="3"/>
      <c r="AE968" s="3"/>
    </row>
    <row r="969" spans="1:31" x14ac:dyDescent="0.3">
      <c r="B969" s="3">
        <f>$B$8</f>
        <v>0.1</v>
      </c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T969" s="3">
        <f t="shared" si="190"/>
        <v>0.2</v>
      </c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</row>
    <row r="970" spans="1:31" x14ac:dyDescent="0.3">
      <c r="B970" s="3">
        <f>$B$9</f>
        <v>0.1</v>
      </c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T970" s="3">
        <f t="shared" si="190"/>
        <v>0.2</v>
      </c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</row>
    <row r="971" spans="1:31" x14ac:dyDescent="0.3">
      <c r="B971" s="3">
        <f>$B$10</f>
        <v>0.1</v>
      </c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T971" s="3">
        <f t="shared" si="190"/>
        <v>0.2</v>
      </c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</row>
    <row r="972" spans="1:31" x14ac:dyDescent="0.3">
      <c r="B972" s="3">
        <f>$B$11</f>
        <v>0.1</v>
      </c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T972" s="3">
        <f t="shared" si="190"/>
        <v>0.2</v>
      </c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</row>
    <row r="974" spans="1:31" x14ac:dyDescent="0.3">
      <c r="A974" s="4" t="s">
        <v>7</v>
      </c>
      <c r="B974" s="5">
        <f>E965 * (1 - E965) * (G965 * F974 + G967 * F975)</f>
        <v>-4.5062585161580646E-5</v>
      </c>
      <c r="C974" s="6"/>
      <c r="D974" s="6"/>
      <c r="E974" s="7"/>
      <c r="F974" s="5">
        <f>I965 * (1 - I965) * K965 *J974</f>
        <v>7.8336131501261508E-3</v>
      </c>
      <c r="G974" s="6"/>
      <c r="H974" s="6"/>
      <c r="I974" s="7"/>
      <c r="J974" s="5">
        <f>$P$18 - M965</f>
        <v>-6.8252978820580013E-2</v>
      </c>
      <c r="K974" s="6"/>
      <c r="L974" s="6"/>
      <c r="M974" s="7"/>
      <c r="S974" s="4" t="s">
        <v>7</v>
      </c>
      <c r="T974" s="5">
        <f>W965 * (1 - W965) * (Y965 * X974 + Y967 * X975)</f>
        <v>1.8370117941782224E-5</v>
      </c>
      <c r="U974" s="6"/>
      <c r="V974" s="6"/>
      <c r="W974" s="7"/>
      <c r="X974" s="5">
        <f>AA965 * (1 - AA965) * AC965 *AB974</f>
        <v>-3.9967743118389685E-3</v>
      </c>
      <c r="Y974" s="6"/>
      <c r="Z974" s="6"/>
      <c r="AA974" s="7"/>
      <c r="AB974" s="5">
        <f>$P$19 - AE965</f>
        <v>3.3759600420332658E-2</v>
      </c>
      <c r="AC974" s="6"/>
      <c r="AD974" s="6"/>
      <c r="AE974" s="7"/>
    </row>
    <row r="975" spans="1:31" x14ac:dyDescent="0.3">
      <c r="B975" s="5">
        <f>E966 * (1 - E966) * (G966 * F974 + G968 * F975)</f>
        <v>6.4751776607376854E-5</v>
      </c>
      <c r="C975" s="6"/>
      <c r="D975" s="6"/>
      <c r="E975" s="7"/>
      <c r="F975" s="5">
        <f>J966 * (1 - J966) * K966 * J974</f>
        <v>-3.4479181447421986E-3</v>
      </c>
      <c r="G975" s="6"/>
      <c r="H975" s="6"/>
      <c r="I975" s="7"/>
      <c r="T975" s="5">
        <f>W966 * (1 - W966) * (Y966 * X974 + Y968 * X975)</f>
        <v>-3.8913944904489368E-5</v>
      </c>
      <c r="U975" s="6"/>
      <c r="V975" s="6"/>
      <c r="W975" s="7"/>
      <c r="X975" s="5">
        <f>AB966 * (1 - AB966) * AC966 * AB974</f>
        <v>1.702754039491214E-3</v>
      </c>
      <c r="Y975" s="6"/>
      <c r="Z975" s="6"/>
      <c r="AA975" s="7"/>
    </row>
    <row r="977" spans="2:31" x14ac:dyDescent="0.3">
      <c r="B977" s="8" t="s">
        <v>4</v>
      </c>
      <c r="C977" s="8"/>
      <c r="D977" s="8"/>
      <c r="E977" s="8"/>
      <c r="F977" s="8" t="s">
        <v>5</v>
      </c>
      <c r="G977" s="8"/>
      <c r="H977" s="8"/>
      <c r="I977" s="8"/>
      <c r="J977" s="8" t="s">
        <v>6</v>
      </c>
      <c r="K977" s="8"/>
      <c r="L977" s="8"/>
      <c r="M977" s="8"/>
      <c r="T977" s="9" t="s">
        <v>4</v>
      </c>
      <c r="U977" s="10"/>
      <c r="V977" s="10"/>
      <c r="W977" s="11"/>
      <c r="X977" s="9" t="s">
        <v>5</v>
      </c>
      <c r="Y977" s="10"/>
      <c r="Z977" s="10"/>
      <c r="AA977" s="11"/>
      <c r="AB977" s="9" t="s">
        <v>6</v>
      </c>
      <c r="AC977" s="10"/>
      <c r="AD977" s="10"/>
      <c r="AE977" s="11"/>
    </row>
    <row r="978" spans="2:31" x14ac:dyDescent="0.3"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T978" s="12"/>
      <c r="U978" s="13"/>
      <c r="V978" s="13"/>
      <c r="W978" s="14"/>
      <c r="X978" s="12"/>
      <c r="Y978" s="13"/>
      <c r="Z978" s="13"/>
      <c r="AA978" s="14"/>
      <c r="AB978" s="12"/>
      <c r="AC978" s="13"/>
      <c r="AD978" s="13"/>
      <c r="AE978" s="14"/>
    </row>
    <row r="979" spans="2:31" x14ac:dyDescent="0.3">
      <c r="B979" s="3" t="s">
        <v>0</v>
      </c>
      <c r="C979" s="3" t="s">
        <v>1</v>
      </c>
      <c r="D979" s="3" t="s">
        <v>2</v>
      </c>
      <c r="E979" s="3" t="s">
        <v>3</v>
      </c>
      <c r="F979" s="3" t="s">
        <v>0</v>
      </c>
      <c r="G979" s="3" t="s">
        <v>1</v>
      </c>
      <c r="H979" s="3" t="s">
        <v>2</v>
      </c>
      <c r="I979" s="3" t="s">
        <v>3</v>
      </c>
      <c r="J979" s="3" t="s">
        <v>0</v>
      </c>
      <c r="K979" s="3" t="s">
        <v>1</v>
      </c>
      <c r="L979" s="3" t="s">
        <v>2</v>
      </c>
      <c r="M979" s="3" t="s">
        <v>3</v>
      </c>
      <c r="T979" s="3">
        <f>$O$19</f>
        <v>0.2</v>
      </c>
      <c r="U979" s="3" t="s">
        <v>1</v>
      </c>
      <c r="V979" s="3" t="s">
        <v>2</v>
      </c>
      <c r="W979" s="3" t="s">
        <v>3</v>
      </c>
      <c r="X979" s="3" t="s">
        <v>0</v>
      </c>
      <c r="Y979" s="3" t="s">
        <v>1</v>
      </c>
      <c r="Z979" s="3" t="s">
        <v>2</v>
      </c>
      <c r="AA979" s="3" t="s">
        <v>3</v>
      </c>
      <c r="AB979" s="3" t="s">
        <v>0</v>
      </c>
      <c r="AC979" s="3" t="s">
        <v>1</v>
      </c>
      <c r="AD979" s="3" t="s">
        <v>2</v>
      </c>
      <c r="AE979" s="3" t="s">
        <v>3</v>
      </c>
    </row>
    <row r="980" spans="2:31" x14ac:dyDescent="0.3">
      <c r="B980" s="3">
        <f>$B$4</f>
        <v>0.1</v>
      </c>
      <c r="C980" s="3">
        <f>C965 + $O$7 * B965 * B974</f>
        <v>9.9930837105817724E-2</v>
      </c>
      <c r="D980" s="3">
        <f>B980*C980+B981*C981</f>
        <v>2.9986167421163546E-2</v>
      </c>
      <c r="E980" s="3">
        <f>1/(1+EXP(-D980))</f>
        <v>0.50749598018351849</v>
      </c>
      <c r="F980" s="3">
        <f>E980</f>
        <v>0.50749598018351849</v>
      </c>
      <c r="G980" s="3">
        <f>G965 + $O$7 * F965 * F974</f>
        <v>0.10655199667771914</v>
      </c>
      <c r="H980" s="3">
        <f>F980*G980+F981*G981</f>
        <v>0.16100891092218791</v>
      </c>
      <c r="I980" s="3">
        <f>1/(1+EXP(-H980))</f>
        <v>0.54016549477776732</v>
      </c>
      <c r="J980" s="3">
        <f>I980</f>
        <v>0.54016549477776732</v>
      </c>
      <c r="K980" s="3">
        <f>K965 + $P$18 * J965 * J974</f>
        <v>-0.47680373463318171</v>
      </c>
      <c r="L980" s="3">
        <f>J980*K980+J981*K981</f>
        <v>-0.13517993287903657</v>
      </c>
      <c r="M980" s="3">
        <f>1/(1+EXP(-L980))</f>
        <v>0.46625638595282565</v>
      </c>
      <c r="T980" s="3">
        <f t="shared" ref="T980:T986" si="194">$O$19</f>
        <v>0.2</v>
      </c>
      <c r="U980" s="3">
        <f>U965 + $O$7 * T965 * T974</f>
        <v>9.9931204508176566E-2</v>
      </c>
      <c r="V980" s="3">
        <f>T980*U980+T981*U981</f>
        <v>5.9972481803270625E-2</v>
      </c>
      <c r="W980" s="3">
        <f>1/(1+EXP(-V980))</f>
        <v>0.51498862825527314</v>
      </c>
      <c r="X980" s="3">
        <f>W980</f>
        <v>0.51498862825527314</v>
      </c>
      <c r="Y980" s="3">
        <f>Y965 + $O$7 * X965 * X974</f>
        <v>0.10634616736036021</v>
      </c>
      <c r="Z980" s="3">
        <f>X980*Y980+X981*Y981</f>
        <v>0.16519198121926321</v>
      </c>
      <c r="AA980" s="3">
        <f>1/(1+EXP(-Z980))</f>
        <v>0.54120433788676037</v>
      </c>
      <c r="AB980" s="3">
        <f>AA980</f>
        <v>0.54120433788676037</v>
      </c>
      <c r="AC980" s="3">
        <f>AC965 +  $P$19 * AB965 * AB974</f>
        <v>-0.4676673898607831</v>
      </c>
      <c r="AD980" s="3">
        <f>AB980*AC980+AB981*AC981</f>
        <v>-0.13026871630303039</v>
      </c>
      <c r="AE980" s="3">
        <f>1/(1+EXP(-AD980))</f>
        <v>0.46747879815476751</v>
      </c>
    </row>
    <row r="981" spans="2:31" x14ac:dyDescent="0.3">
      <c r="B981" s="3">
        <f>$B$5</f>
        <v>0.1</v>
      </c>
      <c r="C981" s="3">
        <f>C966 + $O$7 * B966 * B974</f>
        <v>0.19993083710581772</v>
      </c>
      <c r="D981" s="3">
        <f>B980*C982+B981*C983</f>
        <v>6.9984457230410302E-2</v>
      </c>
      <c r="E981" s="3">
        <f>1/(1+EXP(-D981))</f>
        <v>0.51748897672902572</v>
      </c>
      <c r="F981" s="3">
        <f>E981</f>
        <v>0.51748897672902572</v>
      </c>
      <c r="G981" s="3">
        <f>G966 + $O$7 * F966 * F974</f>
        <v>0.20664053870989432</v>
      </c>
      <c r="H981" s="3">
        <f>F980*G982+F981*G983</f>
        <v>0.35230898604046879</v>
      </c>
      <c r="I981" s="3">
        <f>1/(1+EXP(-H981))</f>
        <v>0.58717738980707634</v>
      </c>
      <c r="J981" s="3">
        <f>I981</f>
        <v>0.58717738980707634</v>
      </c>
      <c r="K981" s="3">
        <f>K966 + $P$18 * J966 * J975</f>
        <v>0.20840889733712384</v>
      </c>
      <c r="L981" s="3"/>
      <c r="M981" s="3"/>
      <c r="T981" s="3">
        <f t="shared" si="194"/>
        <v>0.2</v>
      </c>
      <c r="U981" s="3">
        <f>U966 + $O$7 * T966 * T974</f>
        <v>0.19993120450817656</v>
      </c>
      <c r="V981" s="3">
        <f>T980*U982+T981*U983</f>
        <v>0.13996860314926138</v>
      </c>
      <c r="W981" s="3">
        <f>1/(1+EXP(-V981))</f>
        <v>0.53493513427281159</v>
      </c>
      <c r="X981" s="3">
        <f>W981</f>
        <v>0.53493513427281159</v>
      </c>
      <c r="Y981" s="3">
        <f>Y966 + $O$7 * X966 * X974</f>
        <v>0.20642673717862395</v>
      </c>
      <c r="Z981" s="3">
        <f>X980*Y982+X981*Y983</f>
        <v>0.36145978461719258</v>
      </c>
      <c r="AA981" s="3">
        <f>1/(1+EXP(-Z981))</f>
        <v>0.58939376076207273</v>
      </c>
      <c r="AB981" s="3">
        <f>AA981</f>
        <v>0.58939376076207273</v>
      </c>
      <c r="AC981" s="3">
        <f>AC966 +  $P$19 * AB966 * AB975</f>
        <v>0.20840889733712384</v>
      </c>
      <c r="AD981" s="3"/>
      <c r="AE981" s="3"/>
    </row>
    <row r="982" spans="2:31" x14ac:dyDescent="0.3">
      <c r="B982" s="3">
        <f>$B$6</f>
        <v>0.1</v>
      </c>
      <c r="C982" s="3">
        <f>C967 + $O$7 * B965 * B975</f>
        <v>0.29992228615205152</v>
      </c>
      <c r="D982" s="3"/>
      <c r="E982" s="3"/>
      <c r="F982" s="3"/>
      <c r="G982" s="3">
        <f>G967 + $O$7 * F965 * F975</f>
        <v>0.29329593977749924</v>
      </c>
      <c r="H982" s="3"/>
      <c r="I982" s="3"/>
      <c r="J982" s="3"/>
      <c r="K982" s="3"/>
      <c r="L982" s="3"/>
      <c r="M982" s="3"/>
      <c r="T982" s="3">
        <f t="shared" si="194"/>
        <v>0.2</v>
      </c>
      <c r="U982" s="3">
        <f>U967 + $O$7 * T965 * T975</f>
        <v>0.29992150787315341</v>
      </c>
      <c r="V982" s="3"/>
      <c r="W982" s="3"/>
      <c r="X982" s="3"/>
      <c r="Y982" s="3">
        <f>Y967 + $O$7 * X965 * X975</f>
        <v>0.29338362966795428</v>
      </c>
      <c r="Z982" s="3"/>
      <c r="AA982" s="3"/>
      <c r="AB982" s="3"/>
      <c r="AC982" s="3"/>
      <c r="AD982" s="3"/>
      <c r="AE982" s="3"/>
    </row>
    <row r="983" spans="2:31" x14ac:dyDescent="0.3">
      <c r="B983" s="3">
        <f>$B$7</f>
        <v>0.1</v>
      </c>
      <c r="C983" s="3">
        <f>C968 + $O$7 * B966* B975</f>
        <v>0.39992228615205155</v>
      </c>
      <c r="D983" s="3"/>
      <c r="E983" s="3"/>
      <c r="F983" s="3"/>
      <c r="G983" s="3">
        <f>G968 + $O$7 * F966* F975</f>
        <v>0.39317257902824909</v>
      </c>
      <c r="H983" s="3"/>
      <c r="I983" s="3"/>
      <c r="J983" s="3"/>
      <c r="K983" s="3"/>
      <c r="L983" s="3"/>
      <c r="M983" s="3"/>
      <c r="T983" s="3">
        <f t="shared" si="194"/>
        <v>0.2</v>
      </c>
      <c r="U983" s="3">
        <f>U968 + $O$7 * T966* T975</f>
        <v>0.39992150787315345</v>
      </c>
      <c r="V983" s="3"/>
      <c r="W983" s="3"/>
      <c r="X983" s="3"/>
      <c r="Y983" s="3">
        <f>Y968 + $O$7 * X966* X975</f>
        <v>0.39326366533751145</v>
      </c>
      <c r="Z983" s="3"/>
      <c r="AA983" s="3"/>
      <c r="AB983" s="3"/>
      <c r="AC983" s="3"/>
      <c r="AD983" s="3"/>
      <c r="AE983" s="3"/>
    </row>
    <row r="984" spans="2:31" x14ac:dyDescent="0.3">
      <c r="B984" s="3">
        <f>$B$8</f>
        <v>0.1</v>
      </c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T984" s="3">
        <f t="shared" si="194"/>
        <v>0.2</v>
      </c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</row>
    <row r="985" spans="2:31" x14ac:dyDescent="0.3">
      <c r="B985" s="3">
        <f>$B$9</f>
        <v>0.1</v>
      </c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T985" s="3">
        <f t="shared" si="194"/>
        <v>0.2</v>
      </c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</row>
    <row r="986" spans="2:31" x14ac:dyDescent="0.3">
      <c r="B986" s="3">
        <f>$B$10</f>
        <v>0.1</v>
      </c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T986" s="3">
        <f t="shared" si="194"/>
        <v>0.2</v>
      </c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</row>
    <row r="987" spans="2:31" x14ac:dyDescent="0.3">
      <c r="B987" s="3">
        <f>$B$11</f>
        <v>0.1</v>
      </c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T987" s="3">
        <f>$B$11</f>
        <v>0.1</v>
      </c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</row>
    <row r="993" spans="1:31" x14ac:dyDescent="0.3">
      <c r="B993" s="8" t="s">
        <v>4</v>
      </c>
      <c r="C993" s="8"/>
      <c r="D993" s="8"/>
      <c r="E993" s="8"/>
      <c r="F993" s="8" t="s">
        <v>5</v>
      </c>
      <c r="G993" s="8"/>
      <c r="H993" s="8"/>
      <c r="I993" s="8"/>
      <c r="J993" s="8" t="s">
        <v>6</v>
      </c>
      <c r="K993" s="8"/>
      <c r="L993" s="8"/>
      <c r="M993" s="8"/>
      <c r="T993" s="9" t="s">
        <v>4</v>
      </c>
      <c r="U993" s="10"/>
      <c r="V993" s="10"/>
      <c r="W993" s="11"/>
      <c r="X993" s="9" t="s">
        <v>5</v>
      </c>
      <c r="Y993" s="10"/>
      <c r="Z993" s="10"/>
      <c r="AA993" s="11"/>
      <c r="AB993" s="9" t="s">
        <v>6</v>
      </c>
      <c r="AC993" s="10"/>
      <c r="AD993" s="10"/>
      <c r="AE993" s="11"/>
    </row>
    <row r="994" spans="1:31" x14ac:dyDescent="0.3"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T994" s="12"/>
      <c r="U994" s="13"/>
      <c r="V994" s="13"/>
      <c r="W994" s="14"/>
      <c r="X994" s="12"/>
      <c r="Y994" s="13"/>
      <c r="Z994" s="13"/>
      <c r="AA994" s="14"/>
      <c r="AB994" s="12"/>
      <c r="AC994" s="13"/>
      <c r="AD994" s="13"/>
      <c r="AE994" s="14"/>
    </row>
    <row r="995" spans="1:31" x14ac:dyDescent="0.3">
      <c r="B995" s="3" t="s">
        <v>0</v>
      </c>
      <c r="C995" s="3" t="s">
        <v>1</v>
      </c>
      <c r="D995" s="3" t="s">
        <v>2</v>
      </c>
      <c r="E995" s="3" t="s">
        <v>3</v>
      </c>
      <c r="F995" s="3" t="s">
        <v>0</v>
      </c>
      <c r="G995" s="3" t="s">
        <v>1</v>
      </c>
      <c r="H995" s="3" t="s">
        <v>2</v>
      </c>
      <c r="I995" s="3" t="s">
        <v>3</v>
      </c>
      <c r="J995" s="3" t="s">
        <v>0</v>
      </c>
      <c r="K995" s="3" t="s">
        <v>1</v>
      </c>
      <c r="L995" s="3" t="s">
        <v>2</v>
      </c>
      <c r="M995" s="3" t="s">
        <v>3</v>
      </c>
      <c r="T995" s="3" t="s">
        <v>0</v>
      </c>
      <c r="U995" s="3" t="s">
        <v>1</v>
      </c>
      <c r="V995" s="3" t="s">
        <v>2</v>
      </c>
      <c r="W995" s="3" t="s">
        <v>3</v>
      </c>
      <c r="X995" s="3" t="s">
        <v>0</v>
      </c>
      <c r="Y995" s="3" t="s">
        <v>1</v>
      </c>
      <c r="Z995" s="3" t="s">
        <v>2</v>
      </c>
      <c r="AA995" s="3" t="s">
        <v>3</v>
      </c>
      <c r="AB995" s="3" t="s">
        <v>0</v>
      </c>
      <c r="AC995" s="3" t="s">
        <v>1</v>
      </c>
      <c r="AD995" s="3" t="s">
        <v>2</v>
      </c>
      <c r="AE995" s="3" t="s">
        <v>3</v>
      </c>
    </row>
    <row r="996" spans="1:31" x14ac:dyDescent="0.3">
      <c r="B996" s="3">
        <f>$B$4</f>
        <v>0.1</v>
      </c>
      <c r="C996" s="3">
        <f>U980</f>
        <v>9.9931204508176566E-2</v>
      </c>
      <c r="D996" s="3">
        <f>B996*C996+B997*C997</f>
        <v>2.9986240901635312E-2</v>
      </c>
      <c r="E996" s="3">
        <f>1/(1+EXP(-D996))</f>
        <v>0.50749599854950767</v>
      </c>
      <c r="F996" s="3">
        <f>E996</f>
        <v>0.50749599854950767</v>
      </c>
      <c r="G996" s="3">
        <f>Y980</f>
        <v>0.10634616736036021</v>
      </c>
      <c r="H996" s="3">
        <f>F996*G996+F997*G997</f>
        <v>0.1607938073654859</v>
      </c>
      <c r="I996" s="3">
        <f>1/(1+EXP(-H996))</f>
        <v>0.54011206544664558</v>
      </c>
      <c r="J996" s="3">
        <f>I996</f>
        <v>0.54011206544664558</v>
      </c>
      <c r="K996" s="3">
        <f>AC980</f>
        <v>-0.4676673898607831</v>
      </c>
      <c r="L996" s="3">
        <f>J996*K996+J997*K997</f>
        <v>-0.13021517864461138</v>
      </c>
      <c r="M996" s="3">
        <f>1/(1+EXP(-L996))</f>
        <v>0.46749212596961714</v>
      </c>
      <c r="T996" s="3">
        <f>$O$19</f>
        <v>0.2</v>
      </c>
      <c r="U996" s="3">
        <f>C1011</f>
        <v>9.9930788279963781E-2</v>
      </c>
      <c r="V996" s="3">
        <f>T996*U996+T997*U997</f>
        <v>5.9972315311985512E-2</v>
      </c>
      <c r="W996" s="3">
        <f>1/(1+EXP(-V996))</f>
        <v>0.51498858666985536</v>
      </c>
      <c r="X996" s="3">
        <f>W996</f>
        <v>0.51498858666985536</v>
      </c>
      <c r="Y996" s="3">
        <f>G1011</f>
        <v>0.10674405341077667</v>
      </c>
      <c r="Z996" s="3">
        <f>X996*Y996+X997*Y997</f>
        <v>0.16561393209184555</v>
      </c>
      <c r="AA996" s="3">
        <f>1/(1+EXP(-Z996))</f>
        <v>0.54130910739468718</v>
      </c>
      <c r="AB996" s="3">
        <f>AA996</f>
        <v>0.54130910739468718</v>
      </c>
      <c r="AC996" s="3">
        <f>K1011</f>
        <v>-0.48224871448431716</v>
      </c>
      <c r="AD996" s="3">
        <f>AB996*AC996+AB997*AC997</f>
        <v>-0.13821997162695049</v>
      </c>
      <c r="AE996" s="3">
        <f>1/(1+EXP(-AD996))</f>
        <v>0.46549991593241835</v>
      </c>
    </row>
    <row r="997" spans="1:31" x14ac:dyDescent="0.3">
      <c r="B997" s="3">
        <f>$B$5</f>
        <v>0.1</v>
      </c>
      <c r="C997" s="3">
        <f>U981</f>
        <v>0.19993120450817656</v>
      </c>
      <c r="D997" s="3">
        <f>B996*C998+B997*C999</f>
        <v>6.9984301574630689E-2</v>
      </c>
      <c r="E997" s="3">
        <f>1/(1+EXP(-D997))</f>
        <v>0.51748893786269035</v>
      </c>
      <c r="F997" s="3">
        <f>E997</f>
        <v>0.51748893786269035</v>
      </c>
      <c r="G997" s="3">
        <f t="shared" ref="G997:G999" si="195">Y981</f>
        <v>0.20642673717862395</v>
      </c>
      <c r="H997" s="3">
        <f>F996*G998+F997*G999</f>
        <v>0.35240061457191474</v>
      </c>
      <c r="I997" s="3">
        <f>1/(1+EXP(-H997))</f>
        <v>0.58719960039507735</v>
      </c>
      <c r="J997" s="3">
        <f>I997</f>
        <v>0.58719960039507735</v>
      </c>
      <c r="K997" s="3">
        <f>AC981</f>
        <v>0.20840889733712384</v>
      </c>
      <c r="L997" s="3"/>
      <c r="M997" s="3"/>
      <c r="T997" s="3">
        <f t="shared" ref="T997:T1003" si="196">$O$19</f>
        <v>0.2</v>
      </c>
      <c r="U997" s="3">
        <f t="shared" ref="U997:U999" si="197">C1012</f>
        <v>0.19993078827996377</v>
      </c>
      <c r="V997" s="3">
        <f>T996*U998+T997*U999</f>
        <v>0.13996888038619781</v>
      </c>
      <c r="W997" s="3">
        <f>1/(1+EXP(-V997))</f>
        <v>0.53493520324368737</v>
      </c>
      <c r="X997" s="3">
        <f>W997</f>
        <v>0.53493520324368737</v>
      </c>
      <c r="Y997" s="3">
        <f t="shared" ref="Y997:Y999" si="198">G1012</f>
        <v>0.2068324578743711</v>
      </c>
      <c r="Z997" s="3">
        <f>X996*Y998+X997*Y999</f>
        <v>0.36127630594070376</v>
      </c>
      <c r="AA997" s="3">
        <f>1/(1+EXP(-Z997))</f>
        <v>0.58934935658772214</v>
      </c>
      <c r="AB997" s="3">
        <f>AA997</f>
        <v>0.58934935658772214</v>
      </c>
      <c r="AC997" s="3">
        <f>K1012</f>
        <v>0.20840889733712384</v>
      </c>
      <c r="AD997" s="3"/>
      <c r="AE997" s="3"/>
    </row>
    <row r="998" spans="1:31" x14ac:dyDescent="0.3">
      <c r="B998" s="3">
        <f>$B$6</f>
        <v>0.1</v>
      </c>
      <c r="C998" s="3">
        <f t="shared" ref="C998:C999" si="199">U982</f>
        <v>0.29992150787315341</v>
      </c>
      <c r="D998" s="3"/>
      <c r="E998" s="3"/>
      <c r="F998" s="3"/>
      <c r="G998" s="3">
        <f t="shared" si="195"/>
        <v>0.29338362966795428</v>
      </c>
      <c r="H998" s="3"/>
      <c r="I998" s="3"/>
      <c r="J998" s="3"/>
      <c r="K998" s="3"/>
      <c r="L998" s="3"/>
      <c r="M998" s="3"/>
      <c r="T998" s="3">
        <f t="shared" si="196"/>
        <v>0.2</v>
      </c>
      <c r="U998" s="3">
        <f t="shared" si="197"/>
        <v>0.29992220096549455</v>
      </c>
      <c r="V998" s="3"/>
      <c r="W998" s="3"/>
      <c r="X998" s="3"/>
      <c r="Y998" s="3">
        <f t="shared" si="198"/>
        <v>0.2932105971024685</v>
      </c>
      <c r="Z998" s="3"/>
      <c r="AA998" s="3"/>
      <c r="AB998" s="3"/>
      <c r="AC998" s="3"/>
      <c r="AD998" s="3"/>
      <c r="AE998" s="3"/>
    </row>
    <row r="999" spans="1:31" x14ac:dyDescent="0.3">
      <c r="B999" s="3">
        <f>$B$7</f>
        <v>0.1</v>
      </c>
      <c r="C999" s="3">
        <f t="shared" si="199"/>
        <v>0.39992150787315345</v>
      </c>
      <c r="D999" s="3"/>
      <c r="E999" s="3"/>
      <c r="F999" s="3"/>
      <c r="G999" s="3">
        <f t="shared" si="195"/>
        <v>0.39326366533751145</v>
      </c>
      <c r="H999" s="3"/>
      <c r="I999" s="3"/>
      <c r="J999" s="3"/>
      <c r="K999" s="3"/>
      <c r="L999" s="3"/>
      <c r="M999" s="3"/>
      <c r="T999" s="3">
        <f t="shared" si="196"/>
        <v>0.2</v>
      </c>
      <c r="U999" s="3">
        <f t="shared" si="197"/>
        <v>0.39992220096549458</v>
      </c>
      <c r="V999" s="3"/>
      <c r="W999" s="3"/>
      <c r="X999" s="3"/>
      <c r="Y999" s="3">
        <f t="shared" si="198"/>
        <v>0.39308722564382947</v>
      </c>
      <c r="Z999" s="3"/>
      <c r="AA999" s="3"/>
      <c r="AB999" s="3"/>
      <c r="AC999" s="3"/>
      <c r="AD999" s="3"/>
      <c r="AE999" s="3"/>
    </row>
    <row r="1000" spans="1:31" x14ac:dyDescent="0.3">
      <c r="B1000" s="3">
        <f>$B$8</f>
        <v>0.1</v>
      </c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T1000" s="3">
        <f t="shared" si="196"/>
        <v>0.2</v>
      </c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</row>
    <row r="1001" spans="1:31" x14ac:dyDescent="0.3">
      <c r="B1001" s="3">
        <f>$B$9</f>
        <v>0.1</v>
      </c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T1001" s="3">
        <f t="shared" si="196"/>
        <v>0.2</v>
      </c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</row>
    <row r="1002" spans="1:31" x14ac:dyDescent="0.3">
      <c r="B1002" s="3">
        <f>$B$10</f>
        <v>0.1</v>
      </c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T1002" s="3">
        <f t="shared" si="196"/>
        <v>0.2</v>
      </c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</row>
    <row r="1003" spans="1:31" x14ac:dyDescent="0.3">
      <c r="B1003" s="3">
        <f>$B$11</f>
        <v>0.1</v>
      </c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T1003" s="3">
        <f t="shared" si="196"/>
        <v>0.2</v>
      </c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</row>
    <row r="1005" spans="1:31" x14ac:dyDescent="0.3">
      <c r="A1005" s="4" t="s">
        <v>7</v>
      </c>
      <c r="B1005" s="5">
        <f>E996 * (1 - E996) * (G996 * F1005 + G998 * F1006)</f>
        <v>-4.1622821278021165E-5</v>
      </c>
      <c r="C1005" s="6"/>
      <c r="D1005" s="6"/>
      <c r="E1005" s="7"/>
      <c r="F1005" s="5">
        <f>I996 * (1 - I996) * K996 *J1005</f>
        <v>7.8401810369673405E-3</v>
      </c>
      <c r="G1005" s="6"/>
      <c r="H1005" s="6"/>
      <c r="I1005" s="7"/>
      <c r="J1005" s="5">
        <f>$P$18 - M996</f>
        <v>-6.7492125969617123E-2</v>
      </c>
      <c r="K1005" s="6"/>
      <c r="L1005" s="6"/>
      <c r="M1005" s="7"/>
      <c r="S1005" s="4" t="s">
        <v>7</v>
      </c>
      <c r="T1005" s="5">
        <f>W996 * (1 - W996) * (Y996 * X1005 + Y998 * X1006)</f>
        <v>1.7300290203404043E-5</v>
      </c>
      <c r="U1005" s="6"/>
      <c r="V1005" s="6"/>
      <c r="W1005" s="7"/>
      <c r="X1005" s="5">
        <f>AA996 * (1 - AA996) * AC996 *AB1005</f>
        <v>-4.1310141563318014E-3</v>
      </c>
      <c r="Y1005" s="6"/>
      <c r="Z1005" s="6"/>
      <c r="AA1005" s="7"/>
      <c r="AB1005" s="5">
        <f>$P$19 - AE996</f>
        <v>3.4500084067581649E-2</v>
      </c>
      <c r="AC1005" s="6"/>
      <c r="AD1005" s="6"/>
      <c r="AE1005" s="7"/>
    </row>
    <row r="1006" spans="1:31" x14ac:dyDescent="0.3">
      <c r="B1006" s="5">
        <f>E997 * (1 - E997) * (G997 * F1005 + G999 * F1006)</f>
        <v>6.9309234112277453E-5</v>
      </c>
      <c r="C1006" s="6"/>
      <c r="D1006" s="6"/>
      <c r="E1006" s="7"/>
      <c r="F1006" s="5">
        <f>J997 * (1 - J997) * K997 * J1005</f>
        <v>-3.4095355624545643E-3</v>
      </c>
      <c r="G1006" s="6"/>
      <c r="H1006" s="6"/>
      <c r="I1006" s="7"/>
      <c r="T1006" s="5">
        <f>W997 * (1 - W997) * (Y997 * X1005 + Y999 * X1006)</f>
        <v>-4.2393246370763172E-5</v>
      </c>
      <c r="U1006" s="6"/>
      <c r="V1006" s="6"/>
      <c r="W1006" s="7"/>
      <c r="X1006" s="5">
        <f>AB997 * (1 - AB997) * AC997 * AB1005</f>
        <v>1.7401301448022638E-3</v>
      </c>
      <c r="Y1006" s="6"/>
      <c r="Z1006" s="6"/>
      <c r="AA1006" s="7"/>
    </row>
    <row r="1008" spans="1:31" x14ac:dyDescent="0.3">
      <c r="B1008" s="8" t="s">
        <v>4</v>
      </c>
      <c r="C1008" s="8"/>
      <c r="D1008" s="8"/>
      <c r="E1008" s="8"/>
      <c r="F1008" s="8" t="s">
        <v>5</v>
      </c>
      <c r="G1008" s="8"/>
      <c r="H1008" s="8"/>
      <c r="I1008" s="8"/>
      <c r="J1008" s="8" t="s">
        <v>6</v>
      </c>
      <c r="K1008" s="8"/>
      <c r="L1008" s="8"/>
      <c r="M1008" s="8"/>
      <c r="T1008" s="9" t="s">
        <v>4</v>
      </c>
      <c r="U1008" s="10"/>
      <c r="V1008" s="10"/>
      <c r="W1008" s="11"/>
      <c r="X1008" s="9" t="s">
        <v>5</v>
      </c>
      <c r="Y1008" s="10"/>
      <c r="Z1008" s="10"/>
      <c r="AA1008" s="11"/>
      <c r="AB1008" s="9" t="s">
        <v>6</v>
      </c>
      <c r="AC1008" s="10"/>
      <c r="AD1008" s="10"/>
      <c r="AE1008" s="11"/>
    </row>
    <row r="1009" spans="2:31" x14ac:dyDescent="0.3"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T1009" s="12"/>
      <c r="U1009" s="13"/>
      <c r="V1009" s="13"/>
      <c r="W1009" s="14"/>
      <c r="X1009" s="12"/>
      <c r="Y1009" s="13"/>
      <c r="Z1009" s="13"/>
      <c r="AA1009" s="14"/>
      <c r="AB1009" s="12"/>
      <c r="AC1009" s="13"/>
      <c r="AD1009" s="13"/>
      <c r="AE1009" s="14"/>
    </row>
    <row r="1010" spans="2:31" x14ac:dyDescent="0.3">
      <c r="B1010" s="3" t="s">
        <v>0</v>
      </c>
      <c r="C1010" s="3" t="s">
        <v>1</v>
      </c>
      <c r="D1010" s="3" t="s">
        <v>2</v>
      </c>
      <c r="E1010" s="3" t="s">
        <v>3</v>
      </c>
      <c r="F1010" s="3" t="s">
        <v>0</v>
      </c>
      <c r="G1010" s="3" t="s">
        <v>1</v>
      </c>
      <c r="H1010" s="3" t="s">
        <v>2</v>
      </c>
      <c r="I1010" s="3" t="s">
        <v>3</v>
      </c>
      <c r="J1010" s="3" t="s">
        <v>0</v>
      </c>
      <c r="K1010" s="3" t="s">
        <v>1</v>
      </c>
      <c r="L1010" s="3" t="s">
        <v>2</v>
      </c>
      <c r="M1010" s="3" t="s">
        <v>3</v>
      </c>
      <c r="T1010" s="3">
        <f>$O$19</f>
        <v>0.2</v>
      </c>
      <c r="U1010" s="3" t="s">
        <v>1</v>
      </c>
      <c r="V1010" s="3" t="s">
        <v>2</v>
      </c>
      <c r="W1010" s="3" t="s">
        <v>3</v>
      </c>
      <c r="X1010" s="3" t="s">
        <v>0</v>
      </c>
      <c r="Y1010" s="3" t="s">
        <v>1</v>
      </c>
      <c r="Z1010" s="3" t="s">
        <v>2</v>
      </c>
      <c r="AA1010" s="3" t="s">
        <v>3</v>
      </c>
      <c r="AB1010" s="3" t="s">
        <v>0</v>
      </c>
      <c r="AC1010" s="3" t="s">
        <v>1</v>
      </c>
      <c r="AD1010" s="3" t="s">
        <v>2</v>
      </c>
      <c r="AE1010" s="3" t="s">
        <v>3</v>
      </c>
    </row>
    <row r="1011" spans="2:31" x14ac:dyDescent="0.3">
      <c r="B1011" s="3">
        <f>$B$4</f>
        <v>0.1</v>
      </c>
      <c r="C1011" s="3">
        <f>C996 + $O$7 * B996 * B1005</f>
        <v>9.9930788279963781E-2</v>
      </c>
      <c r="D1011" s="3">
        <f>B1011*C1011+B1012*C1012</f>
        <v>2.9986157655992756E-2</v>
      </c>
      <c r="E1011" s="3">
        <f>1/(1+EXP(-D1011))</f>
        <v>0.50749597774277455</v>
      </c>
      <c r="F1011" s="3">
        <f>E1011</f>
        <v>0.50749597774277455</v>
      </c>
      <c r="G1011" s="3">
        <f>G996 + $O$7 * F996 * F1005</f>
        <v>0.10674405341077667</v>
      </c>
      <c r="H1011" s="3">
        <f>F1011*G1011+F1012*G1012</f>
        <v>0.16120569385379727</v>
      </c>
      <c r="I1011" s="3">
        <f>1/(1+EXP(-H1011))</f>
        <v>0.54021437266078287</v>
      </c>
      <c r="J1011" s="3">
        <f>I1011</f>
        <v>0.54021437266078287</v>
      </c>
      <c r="K1011" s="3">
        <f>K996 + $P$18 * J996 * J1005</f>
        <v>-0.48224871448431716</v>
      </c>
      <c r="L1011" s="3">
        <f>J1011*K1011+J1012*K1012</f>
        <v>-0.13814911393444806</v>
      </c>
      <c r="M1011" s="3">
        <f>1/(1+EXP(-L1011))</f>
        <v>0.46551754605985562</v>
      </c>
      <c r="T1011" s="3">
        <f t="shared" ref="T1011:T1017" si="200">$O$19</f>
        <v>0.2</v>
      </c>
      <c r="U1011" s="3">
        <f>U996 + $O$7 * T996 * T1005</f>
        <v>9.9931134285767845E-2</v>
      </c>
      <c r="V1011" s="3">
        <f>T1011*U1011+T1012*U1012</f>
        <v>5.9972453714307136E-2</v>
      </c>
      <c r="W1011" s="3">
        <f>1/(1+EXP(-V1011))</f>
        <v>0.51498862123934264</v>
      </c>
      <c r="X1011" s="3">
        <f>W1011</f>
        <v>0.51498862123934264</v>
      </c>
      <c r="Y1011" s="3">
        <f>Y996 + $O$7 * X996 * X1005</f>
        <v>0.10653131089658842</v>
      </c>
      <c r="Z1011" s="3">
        <f>X1011*Y1011+X1012*Y1012</f>
        <v>0.16538614706247129</v>
      </c>
      <c r="AA1011" s="3">
        <f>1/(1+EXP(-Z1011))</f>
        <v>0.54125254930742106</v>
      </c>
      <c r="AB1011" s="3">
        <f>AA1011</f>
        <v>0.54125254930742106</v>
      </c>
      <c r="AC1011" s="3">
        <f>AC996 +  $P$19 * AB996 * AB1005</f>
        <v>-0.47291110962848504</v>
      </c>
      <c r="AD1011" s="3">
        <f>AB1011*AC1011+AB1012*AC1012</f>
        <v>-0.13313385599883698</v>
      </c>
      <c r="AE1011" s="3">
        <f>1/(1+EXP(-AD1011))</f>
        <v>0.46676561042554876</v>
      </c>
    </row>
    <row r="1012" spans="2:31" x14ac:dyDescent="0.3">
      <c r="B1012" s="3">
        <f>$B$5</f>
        <v>0.1</v>
      </c>
      <c r="C1012" s="3">
        <f>C997 + $O$7 * B997 * B1005</f>
        <v>0.19993078827996377</v>
      </c>
      <c r="D1012" s="3">
        <f>B1011*C1013+B1012*C1014</f>
        <v>6.9984440193098907E-2</v>
      </c>
      <c r="E1012" s="3">
        <f>1/(1+EXP(-D1012))</f>
        <v>0.51748897247490899</v>
      </c>
      <c r="F1012" s="3">
        <f>E1012</f>
        <v>0.51748897247490899</v>
      </c>
      <c r="G1012" s="3">
        <f>G997 + $O$7 * F997 * F1005</f>
        <v>0.2068324578743711</v>
      </c>
      <c r="H1012" s="3">
        <f>F1011*G1013+F1012*G1014</f>
        <v>0.35222150315249801</v>
      </c>
      <c r="I1012" s="3">
        <f>1/(1+EXP(-H1012))</f>
        <v>0.58715618378433232</v>
      </c>
      <c r="J1012" s="3">
        <f>I1012</f>
        <v>0.58715618378433232</v>
      </c>
      <c r="K1012" s="3">
        <f>K997 + $P$18 * J997 * J1006</f>
        <v>0.20840889733712384</v>
      </c>
      <c r="L1012" s="3"/>
      <c r="M1012" s="3"/>
      <c r="T1012" s="3">
        <f t="shared" si="200"/>
        <v>0.2</v>
      </c>
      <c r="U1012" s="3">
        <f>U997 + $O$7 * T997 * T1005</f>
        <v>0.19993113428576784</v>
      </c>
      <c r="V1012" s="3">
        <f>T1011*U1013+T1012*U1014</f>
        <v>0.13996854124022684</v>
      </c>
      <c r="W1012" s="3">
        <f>1/(1+EXP(-V1012))</f>
        <v>0.53493511887111056</v>
      </c>
      <c r="X1012" s="3">
        <f>W1012</f>
        <v>0.53493511887111056</v>
      </c>
      <c r="Y1012" s="3">
        <f>Y997 + $O$7 * X997 * X1005</f>
        <v>0.20661147538463911</v>
      </c>
      <c r="Z1012" s="3">
        <f>X1011*Y1013+X1012*Y1014</f>
        <v>0.36137222827348164</v>
      </c>
      <c r="AA1012" s="3">
        <f>1/(1+EXP(-Z1012))</f>
        <v>0.58937257119445485</v>
      </c>
      <c r="AB1012" s="3">
        <f>AA1012</f>
        <v>0.58937257119445485</v>
      </c>
      <c r="AC1012" s="3">
        <f>AC997 +  $P$19 * AB997 * AB1006</f>
        <v>0.20840889733712384</v>
      </c>
      <c r="AD1012" s="3"/>
      <c r="AE1012" s="3"/>
    </row>
    <row r="1013" spans="2:31" x14ac:dyDescent="0.3">
      <c r="B1013" s="3">
        <f>$B$6</f>
        <v>0.1</v>
      </c>
      <c r="C1013" s="3">
        <f>C998 + $O$7 * B996 * B1006</f>
        <v>0.29992220096549455</v>
      </c>
      <c r="D1013" s="3"/>
      <c r="E1013" s="3"/>
      <c r="F1013" s="3"/>
      <c r="G1013" s="3">
        <f>G998 + $O$7 * F996 * F1006</f>
        <v>0.2932105971024685</v>
      </c>
      <c r="H1013" s="3"/>
      <c r="I1013" s="3"/>
      <c r="J1013" s="3"/>
      <c r="K1013" s="3"/>
      <c r="L1013" s="3"/>
      <c r="M1013" s="3"/>
      <c r="T1013" s="3">
        <f t="shared" si="200"/>
        <v>0.2</v>
      </c>
      <c r="U1013" s="3">
        <f>U998 + $O$7 * T996 * T1006</f>
        <v>0.29992135310056711</v>
      </c>
      <c r="V1013" s="3"/>
      <c r="W1013" s="3"/>
      <c r="X1013" s="3"/>
      <c r="Y1013" s="3">
        <f>Y998 + $O$7 * X996 * X1006</f>
        <v>0.29330021181885785</v>
      </c>
      <c r="Z1013" s="3"/>
      <c r="AA1013" s="3"/>
      <c r="AB1013" s="3"/>
      <c r="AC1013" s="3"/>
      <c r="AD1013" s="3"/>
      <c r="AE1013" s="3"/>
    </row>
    <row r="1014" spans="2:31" x14ac:dyDescent="0.3">
      <c r="B1014" s="3">
        <f>$B$7</f>
        <v>0.1</v>
      </c>
      <c r="C1014" s="3">
        <f>C999 + $O$7 * B997* B1006</f>
        <v>0.39992220096549458</v>
      </c>
      <c r="D1014" s="3"/>
      <c r="E1014" s="3"/>
      <c r="F1014" s="3"/>
      <c r="G1014" s="3">
        <f>G999 + $O$7 * F997* F1006</f>
        <v>0.39308722564382947</v>
      </c>
      <c r="H1014" s="3"/>
      <c r="I1014" s="3"/>
      <c r="J1014" s="3"/>
      <c r="K1014" s="3"/>
      <c r="L1014" s="3"/>
      <c r="M1014" s="3"/>
      <c r="T1014" s="3">
        <f t="shared" si="200"/>
        <v>0.2</v>
      </c>
      <c r="U1014" s="3">
        <f>U999 + $O$7 * T997* T1006</f>
        <v>0.39992135310056715</v>
      </c>
      <c r="V1014" s="3"/>
      <c r="W1014" s="3"/>
      <c r="X1014" s="3"/>
      <c r="Y1014" s="3">
        <f>Y999 + $O$7 * X997* X1006</f>
        <v>0.39318031133109749</v>
      </c>
      <c r="Z1014" s="3"/>
      <c r="AA1014" s="3"/>
      <c r="AB1014" s="3"/>
      <c r="AC1014" s="3"/>
      <c r="AD1014" s="3"/>
      <c r="AE1014" s="3"/>
    </row>
    <row r="1015" spans="2:31" x14ac:dyDescent="0.3">
      <c r="B1015" s="3">
        <f>$B$8</f>
        <v>0.1</v>
      </c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T1015" s="3">
        <f t="shared" si="200"/>
        <v>0.2</v>
      </c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</row>
    <row r="1016" spans="2:31" x14ac:dyDescent="0.3">
      <c r="B1016" s="3">
        <f>$B$9</f>
        <v>0.1</v>
      </c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T1016" s="3">
        <f t="shared" si="200"/>
        <v>0.2</v>
      </c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</row>
    <row r="1017" spans="2:31" x14ac:dyDescent="0.3">
      <c r="B1017" s="3">
        <f>$B$10</f>
        <v>0.1</v>
      </c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T1017" s="3">
        <f t="shared" si="200"/>
        <v>0.2</v>
      </c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</row>
    <row r="1018" spans="2:31" x14ac:dyDescent="0.3">
      <c r="B1018" s="3">
        <f>$B$11</f>
        <v>0.1</v>
      </c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T1018" s="3">
        <f>$B$11</f>
        <v>0.1</v>
      </c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</row>
    <row r="1024" spans="2:31" x14ac:dyDescent="0.3">
      <c r="B1024" s="8" t="s">
        <v>4</v>
      </c>
      <c r="C1024" s="8"/>
      <c r="D1024" s="8"/>
      <c r="E1024" s="8"/>
      <c r="F1024" s="8" t="s">
        <v>5</v>
      </c>
      <c r="G1024" s="8"/>
      <c r="H1024" s="8"/>
      <c r="I1024" s="8"/>
      <c r="J1024" s="8" t="s">
        <v>6</v>
      </c>
      <c r="K1024" s="8"/>
      <c r="L1024" s="8"/>
      <c r="M1024" s="8"/>
      <c r="T1024" s="9" t="s">
        <v>4</v>
      </c>
      <c r="U1024" s="10"/>
      <c r="V1024" s="10"/>
      <c r="W1024" s="11"/>
      <c r="X1024" s="9" t="s">
        <v>5</v>
      </c>
      <c r="Y1024" s="10"/>
      <c r="Z1024" s="10"/>
      <c r="AA1024" s="11"/>
      <c r="AB1024" s="9" t="s">
        <v>6</v>
      </c>
      <c r="AC1024" s="10"/>
      <c r="AD1024" s="10"/>
      <c r="AE1024" s="11"/>
    </row>
    <row r="1025" spans="1:31" x14ac:dyDescent="0.3"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T1025" s="12"/>
      <c r="U1025" s="13"/>
      <c r="V1025" s="13"/>
      <c r="W1025" s="14"/>
      <c r="X1025" s="12"/>
      <c r="Y1025" s="13"/>
      <c r="Z1025" s="13"/>
      <c r="AA1025" s="14"/>
      <c r="AB1025" s="12"/>
      <c r="AC1025" s="13"/>
      <c r="AD1025" s="13"/>
      <c r="AE1025" s="14"/>
    </row>
    <row r="1026" spans="1:31" x14ac:dyDescent="0.3">
      <c r="B1026" s="3" t="s">
        <v>0</v>
      </c>
      <c r="C1026" s="3" t="s">
        <v>1</v>
      </c>
      <c r="D1026" s="3" t="s">
        <v>2</v>
      </c>
      <c r="E1026" s="3" t="s">
        <v>3</v>
      </c>
      <c r="F1026" s="3" t="s">
        <v>0</v>
      </c>
      <c r="G1026" s="3" t="s">
        <v>1</v>
      </c>
      <c r="H1026" s="3" t="s">
        <v>2</v>
      </c>
      <c r="I1026" s="3" t="s">
        <v>3</v>
      </c>
      <c r="J1026" s="3" t="s">
        <v>0</v>
      </c>
      <c r="K1026" s="3" t="s">
        <v>1</v>
      </c>
      <c r="L1026" s="3" t="s">
        <v>2</v>
      </c>
      <c r="M1026" s="3" t="s">
        <v>3</v>
      </c>
      <c r="T1026" s="3" t="s">
        <v>0</v>
      </c>
      <c r="U1026" s="3" t="s">
        <v>1</v>
      </c>
      <c r="V1026" s="3" t="s">
        <v>2</v>
      </c>
      <c r="W1026" s="3" t="s">
        <v>3</v>
      </c>
      <c r="X1026" s="3" t="s">
        <v>0</v>
      </c>
      <c r="Y1026" s="3" t="s">
        <v>1</v>
      </c>
      <c r="Z1026" s="3" t="s">
        <v>2</v>
      </c>
      <c r="AA1026" s="3" t="s">
        <v>3</v>
      </c>
      <c r="AB1026" s="3" t="s">
        <v>0</v>
      </c>
      <c r="AC1026" s="3" t="s">
        <v>1</v>
      </c>
      <c r="AD1026" s="3" t="s">
        <v>2</v>
      </c>
      <c r="AE1026" s="3" t="s">
        <v>3</v>
      </c>
    </row>
    <row r="1027" spans="1:31" x14ac:dyDescent="0.3">
      <c r="B1027" s="3">
        <f>$B$4</f>
        <v>0.1</v>
      </c>
      <c r="C1027" s="3">
        <f>U1011</f>
        <v>9.9931134285767845E-2</v>
      </c>
      <c r="D1027" s="3">
        <f>B1027*C1027+B1028*C1028</f>
        <v>2.9986226857153568E-2</v>
      </c>
      <c r="E1027" s="3">
        <f>1/(1+EXP(-D1027))</f>
        <v>0.50749599503917631</v>
      </c>
      <c r="F1027" s="3">
        <f>E1027</f>
        <v>0.50749599503917631</v>
      </c>
      <c r="G1027" s="3">
        <f>Y1011</f>
        <v>0.10653131089658842</v>
      </c>
      <c r="H1027" s="3">
        <f>F1027*G1027+F1028*G1028</f>
        <v>0.16098336497639881</v>
      </c>
      <c r="I1027" s="3">
        <f>1/(1+EXP(-H1027))</f>
        <v>0.54015914949724031</v>
      </c>
      <c r="J1027" s="3">
        <f>I1027</f>
        <v>0.54015914949724031</v>
      </c>
      <c r="K1027" s="3">
        <f>AC1011</f>
        <v>-0.47291110962848504</v>
      </c>
      <c r="L1027" s="3">
        <f>J1027*K1027+J1028*K1028</f>
        <v>-0.13307395945018952</v>
      </c>
      <c r="M1027" s="3">
        <f>1/(1+EXP(-L1027))</f>
        <v>0.46678051843516799</v>
      </c>
      <c r="T1027" s="3">
        <f>$O$19</f>
        <v>0.2</v>
      </c>
      <c r="U1027" s="3">
        <f>C1042</f>
        <v>9.9930749830987695E-2</v>
      </c>
      <c r="V1027" s="3">
        <f>T1027*U1027+T1028*U1028</f>
        <v>5.9972299932395078E-2</v>
      </c>
      <c r="W1027" s="3">
        <f>1/(1+EXP(-V1027))</f>
        <v>0.51498858282841298</v>
      </c>
      <c r="X1027" s="3">
        <f>W1027</f>
        <v>0.51498858282841298</v>
      </c>
      <c r="Y1027" s="3">
        <f>G1042</f>
        <v>0.10692941000843276</v>
      </c>
      <c r="Z1027" s="3">
        <f>X1027*Y1027+X1028*Y1028</f>
        <v>0.16580832507101764</v>
      </c>
      <c r="AA1027" s="3">
        <f>1/(1+EXP(-Z1027))</f>
        <v>0.54135737353132862</v>
      </c>
      <c r="AB1027" s="3">
        <f>AA1027</f>
        <v>0.54135737353132862</v>
      </c>
      <c r="AC1027" s="3">
        <f>K1042</f>
        <v>-0.4873399528448551</v>
      </c>
      <c r="AD1027" s="3">
        <f>AB1027*AC1027+AB1028*AC1028</f>
        <v>-0.14100374599890814</v>
      </c>
      <c r="AE1027" s="3">
        <f>1/(1+EXP(-AD1027))</f>
        <v>0.46480735270435258</v>
      </c>
    </row>
    <row r="1028" spans="1:31" x14ac:dyDescent="0.3">
      <c r="B1028" s="3">
        <f>$B$5</f>
        <v>0.1</v>
      </c>
      <c r="C1028" s="3">
        <f>U1012</f>
        <v>0.19993113428576784</v>
      </c>
      <c r="D1028" s="3">
        <f>B1027*C1029+B1028*C1030</f>
        <v>6.998427062011342E-2</v>
      </c>
      <c r="E1028" s="3">
        <f>1/(1+EXP(-D1028))</f>
        <v>0.51748893013352881</v>
      </c>
      <c r="F1028" s="3">
        <f>E1028</f>
        <v>0.51748893013352881</v>
      </c>
      <c r="G1028" s="3">
        <f t="shared" ref="G1028:G1030" si="201">Y1012</f>
        <v>0.20661147538463911</v>
      </c>
      <c r="H1028" s="3">
        <f>F1027*G1029+F1028*G1030</f>
        <v>0.35231514150250987</v>
      </c>
      <c r="I1028" s="3">
        <f>1/(1+EXP(-H1028))</f>
        <v>0.58717888189090661</v>
      </c>
      <c r="J1028" s="3">
        <f>I1028</f>
        <v>0.58717888189090661</v>
      </c>
      <c r="K1028" s="3">
        <f>AC1012</f>
        <v>0.20840889733712384</v>
      </c>
      <c r="L1028" s="3"/>
      <c r="M1028" s="3"/>
      <c r="T1028" s="3">
        <f t="shared" ref="T1028:T1034" si="202">$O$19</f>
        <v>0.2</v>
      </c>
      <c r="U1028" s="3">
        <f t="shared" ref="U1028:U1030" si="203">C1043</f>
        <v>0.19993074983098769</v>
      </c>
      <c r="V1028" s="3">
        <f>T1027*U1029+T1028*U1030</f>
        <v>0.13996883517125278</v>
      </c>
      <c r="W1028" s="3">
        <f>1/(1+EXP(-V1028))</f>
        <v>0.53493519199513451</v>
      </c>
      <c r="X1028" s="3">
        <f>W1028</f>
        <v>0.53493519199513451</v>
      </c>
      <c r="Y1028" s="3">
        <f t="shared" ref="Y1028:Y1030" si="204">G1043</f>
        <v>0.20701741333388249</v>
      </c>
      <c r="Z1028" s="3">
        <f>X1027*Y1029+X1028*Y1030</f>
        <v>0.3611906841337294</v>
      </c>
      <c r="AA1028" s="3">
        <f>1/(1+EXP(-Z1028))</f>
        <v>0.58932863452267792</v>
      </c>
      <c r="AB1028" s="3">
        <f>AA1028</f>
        <v>0.58932863452267792</v>
      </c>
      <c r="AC1028" s="3">
        <f>K1043</f>
        <v>0.20840889733712384</v>
      </c>
      <c r="AD1028" s="3"/>
      <c r="AE1028" s="3"/>
    </row>
    <row r="1029" spans="1:31" x14ac:dyDescent="0.3">
      <c r="B1029" s="3">
        <f>$B$6</f>
        <v>0.1</v>
      </c>
      <c r="C1029" s="3">
        <f t="shared" ref="C1029:C1030" si="205">U1013</f>
        <v>0.29992135310056711</v>
      </c>
      <c r="D1029" s="3"/>
      <c r="E1029" s="3"/>
      <c r="F1029" s="3"/>
      <c r="G1029" s="3">
        <f t="shared" si="201"/>
        <v>0.29330021181885785</v>
      </c>
      <c r="H1029" s="3"/>
      <c r="I1029" s="3"/>
      <c r="J1029" s="3"/>
      <c r="K1029" s="3"/>
      <c r="L1029" s="3"/>
      <c r="M1029" s="3"/>
      <c r="T1029" s="3">
        <f t="shared" si="202"/>
        <v>0.2</v>
      </c>
      <c r="U1029" s="3">
        <f t="shared" si="203"/>
        <v>0.29992208792813191</v>
      </c>
      <c r="V1029" s="3"/>
      <c r="W1029" s="3"/>
      <c r="X1029" s="3"/>
      <c r="Y1029" s="3">
        <f t="shared" si="204"/>
        <v>0.29312900108262607</v>
      </c>
      <c r="Z1029" s="3"/>
      <c r="AA1029" s="3"/>
      <c r="AB1029" s="3"/>
      <c r="AC1029" s="3"/>
      <c r="AD1029" s="3"/>
      <c r="AE1029" s="3"/>
    </row>
    <row r="1030" spans="1:31" x14ac:dyDescent="0.3">
      <c r="B1030" s="3">
        <f>$B$7</f>
        <v>0.1</v>
      </c>
      <c r="C1030" s="3">
        <f t="shared" si="205"/>
        <v>0.39992135310056715</v>
      </c>
      <c r="D1030" s="3"/>
      <c r="E1030" s="3"/>
      <c r="F1030" s="3"/>
      <c r="G1030" s="3">
        <f t="shared" si="201"/>
        <v>0.39318031133109749</v>
      </c>
      <c r="H1030" s="3"/>
      <c r="I1030" s="3"/>
      <c r="J1030" s="3"/>
      <c r="K1030" s="3"/>
      <c r="L1030" s="3"/>
      <c r="M1030" s="3"/>
      <c r="T1030" s="3">
        <f t="shared" si="202"/>
        <v>0.2</v>
      </c>
      <c r="U1030" s="3">
        <f t="shared" si="203"/>
        <v>0.39992208792813194</v>
      </c>
      <c r="V1030" s="3"/>
      <c r="W1030" s="3"/>
      <c r="X1030" s="3"/>
      <c r="Y1030" s="3">
        <f t="shared" si="204"/>
        <v>0.39300572934111921</v>
      </c>
      <c r="Z1030" s="3"/>
      <c r="AA1030" s="3"/>
      <c r="AB1030" s="3"/>
      <c r="AC1030" s="3"/>
      <c r="AD1030" s="3"/>
      <c r="AE1030" s="3"/>
    </row>
    <row r="1031" spans="1:31" x14ac:dyDescent="0.3">
      <c r="B1031" s="3">
        <f>$B$8</f>
        <v>0.1</v>
      </c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T1031" s="3">
        <f t="shared" si="202"/>
        <v>0.2</v>
      </c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</row>
    <row r="1032" spans="1:31" x14ac:dyDescent="0.3">
      <c r="B1032" s="3">
        <f>$B$9</f>
        <v>0.1</v>
      </c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T1032" s="3">
        <f t="shared" si="202"/>
        <v>0.2</v>
      </c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</row>
    <row r="1033" spans="1:31" x14ac:dyDescent="0.3">
      <c r="B1033" s="3">
        <f>$B$10</f>
        <v>0.1</v>
      </c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T1033" s="3">
        <f t="shared" si="202"/>
        <v>0.2</v>
      </c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</row>
    <row r="1034" spans="1:31" x14ac:dyDescent="0.3">
      <c r="B1034" s="3">
        <f>$B$11</f>
        <v>0.1</v>
      </c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T1034" s="3">
        <f t="shared" si="202"/>
        <v>0.2</v>
      </c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</row>
    <row r="1036" spans="1:31" x14ac:dyDescent="0.3">
      <c r="A1036" s="4" t="s">
        <v>7</v>
      </c>
      <c r="B1036" s="5">
        <f>E1027 * (1 - E1027) * (G1027 * F1036 + G1029 * F1037)</f>
        <v>-3.8445478015391574E-5</v>
      </c>
      <c r="C1036" s="6"/>
      <c r="D1036" s="6"/>
      <c r="E1036" s="7"/>
      <c r="F1036" s="5">
        <f>I1027 * (1 - I1027) * K1027 *J1036</f>
        <v>7.8443793790649741E-3</v>
      </c>
      <c r="G1036" s="6"/>
      <c r="H1036" s="6"/>
      <c r="I1036" s="7"/>
      <c r="J1036" s="5">
        <f>$P$18 - M1027</f>
        <v>-6.6780518435167968E-2</v>
      </c>
      <c r="K1036" s="6"/>
      <c r="L1036" s="6"/>
      <c r="M1036" s="7"/>
      <c r="S1036" s="4" t="s">
        <v>7</v>
      </c>
      <c r="T1036" s="5">
        <f>W1027 * (1 - W1027) * (Y1027 * X1036 + Y1029 * X1037)</f>
        <v>1.6231930034035625E-5</v>
      </c>
      <c r="U1036" s="6"/>
      <c r="V1036" s="6"/>
      <c r="W1036" s="7"/>
      <c r="X1036" s="5">
        <f>AA1027 * (1 - AA1027) * AC1027 *AB1036</f>
        <v>-4.2583605142685055E-3</v>
      </c>
      <c r="Y1036" s="6"/>
      <c r="Z1036" s="6"/>
      <c r="AA1036" s="7"/>
      <c r="AB1036" s="5">
        <f>$P$19 - AE1027</f>
        <v>3.5192647295647417E-2</v>
      </c>
      <c r="AC1036" s="6"/>
      <c r="AD1036" s="6"/>
      <c r="AE1036" s="7"/>
    </row>
    <row r="1037" spans="1:31" x14ac:dyDescent="0.3">
      <c r="B1037" s="5">
        <f>E1028 * (1 - E1028) * (G1028 * F1036 + G1030 * F1037)</f>
        <v>7.3482756481706512E-5</v>
      </c>
      <c r="C1037" s="6"/>
      <c r="D1037" s="6"/>
      <c r="E1037" s="7"/>
      <c r="F1037" s="5">
        <f>J1028 * (1 - J1028) * K1028 * J1036</f>
        <v>-3.3736371893642561E-3</v>
      </c>
      <c r="G1037" s="6"/>
      <c r="H1037" s="6"/>
      <c r="I1037" s="7"/>
      <c r="T1037" s="5">
        <f>W1028 * (1 - W1028) * (Y1028 * X1036 + Y1030 * X1037)</f>
        <v>-4.5759161420924777E-5</v>
      </c>
      <c r="U1037" s="6"/>
      <c r="V1037" s="6"/>
      <c r="W1037" s="7"/>
      <c r="X1037" s="5">
        <f>AB1028 * (1 - AB1028) * AC1028 * AB1036</f>
        <v>1.775089104503697E-3</v>
      </c>
      <c r="Y1037" s="6"/>
      <c r="Z1037" s="6"/>
      <c r="AA1037" s="7"/>
    </row>
    <row r="1039" spans="1:31" x14ac:dyDescent="0.3">
      <c r="B1039" s="8" t="s">
        <v>4</v>
      </c>
      <c r="C1039" s="8"/>
      <c r="D1039" s="8"/>
      <c r="E1039" s="8"/>
      <c r="F1039" s="8" t="s">
        <v>5</v>
      </c>
      <c r="G1039" s="8"/>
      <c r="H1039" s="8"/>
      <c r="I1039" s="8"/>
      <c r="J1039" s="8" t="s">
        <v>6</v>
      </c>
      <c r="K1039" s="8"/>
      <c r="L1039" s="8"/>
      <c r="M1039" s="8"/>
      <c r="T1039" s="9" t="s">
        <v>4</v>
      </c>
      <c r="U1039" s="10"/>
      <c r="V1039" s="10"/>
      <c r="W1039" s="11"/>
      <c r="X1039" s="9" t="s">
        <v>5</v>
      </c>
      <c r="Y1039" s="10"/>
      <c r="Z1039" s="10"/>
      <c r="AA1039" s="11"/>
      <c r="AB1039" s="9" t="s">
        <v>6</v>
      </c>
      <c r="AC1039" s="10"/>
      <c r="AD1039" s="10"/>
      <c r="AE1039" s="11"/>
    </row>
    <row r="1040" spans="1:31" x14ac:dyDescent="0.3"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T1040" s="12"/>
      <c r="U1040" s="13"/>
      <c r="V1040" s="13"/>
      <c r="W1040" s="14"/>
      <c r="X1040" s="12"/>
      <c r="Y1040" s="13"/>
      <c r="Z1040" s="13"/>
      <c r="AA1040" s="14"/>
      <c r="AB1040" s="12"/>
      <c r="AC1040" s="13"/>
      <c r="AD1040" s="13"/>
      <c r="AE1040" s="14"/>
    </row>
    <row r="1041" spans="2:31" x14ac:dyDescent="0.3">
      <c r="B1041" s="3" t="s">
        <v>0</v>
      </c>
      <c r="C1041" s="3" t="s">
        <v>1</v>
      </c>
      <c r="D1041" s="3" t="s">
        <v>2</v>
      </c>
      <c r="E1041" s="3" t="s">
        <v>3</v>
      </c>
      <c r="F1041" s="3" t="s">
        <v>0</v>
      </c>
      <c r="G1041" s="3" t="s">
        <v>1</v>
      </c>
      <c r="H1041" s="3" t="s">
        <v>2</v>
      </c>
      <c r="I1041" s="3" t="s">
        <v>3</v>
      </c>
      <c r="J1041" s="3" t="s">
        <v>0</v>
      </c>
      <c r="K1041" s="3" t="s">
        <v>1</v>
      </c>
      <c r="L1041" s="3" t="s">
        <v>2</v>
      </c>
      <c r="M1041" s="3" t="s">
        <v>3</v>
      </c>
      <c r="T1041" s="3">
        <f>$O$19</f>
        <v>0.2</v>
      </c>
      <c r="U1041" s="3" t="s">
        <v>1</v>
      </c>
      <c r="V1041" s="3" t="s">
        <v>2</v>
      </c>
      <c r="W1041" s="3" t="s">
        <v>3</v>
      </c>
      <c r="X1041" s="3" t="s">
        <v>0</v>
      </c>
      <c r="Y1041" s="3" t="s">
        <v>1</v>
      </c>
      <c r="Z1041" s="3" t="s">
        <v>2</v>
      </c>
      <c r="AA1041" s="3" t="s">
        <v>3</v>
      </c>
      <c r="AB1041" s="3" t="s">
        <v>0</v>
      </c>
      <c r="AC1041" s="3" t="s">
        <v>1</v>
      </c>
      <c r="AD1041" s="3" t="s">
        <v>2</v>
      </c>
      <c r="AE1041" s="3" t="s">
        <v>3</v>
      </c>
    </row>
    <row r="1042" spans="2:31" x14ac:dyDescent="0.3">
      <c r="B1042" s="3">
        <f>$B$4</f>
        <v>0.1</v>
      </c>
      <c r="C1042" s="3">
        <f>C1027 + $O$7 * B1027 * B1036</f>
        <v>9.9930749830987695E-2</v>
      </c>
      <c r="D1042" s="3">
        <f>B1042*C1042+B1043*C1043</f>
        <v>2.9986149966197539E-2</v>
      </c>
      <c r="E1042" s="3">
        <f>1/(1+EXP(-D1042))</f>
        <v>0.50749597582075778</v>
      </c>
      <c r="F1042" s="3">
        <f>E1042</f>
        <v>0.50749597582075778</v>
      </c>
      <c r="G1042" s="3">
        <f>G1027 + $O$7 * F1027 * F1036</f>
        <v>0.10692941000843276</v>
      </c>
      <c r="H1042" s="3">
        <f>F1042*G1042+F1043*G1043</f>
        <v>0.16139547261812823</v>
      </c>
      <c r="I1042" s="3">
        <f>1/(1+EXP(-H1042))</f>
        <v>0.54026151008256451</v>
      </c>
      <c r="J1042" s="3">
        <f>I1042</f>
        <v>0.54026151008256451</v>
      </c>
      <c r="K1042" s="3">
        <f>K1027 + $P$18 * J1027 * J1036</f>
        <v>-0.4873399528448551</v>
      </c>
      <c r="L1042" s="3">
        <f>J1042*K1042+J1043*K1043</f>
        <v>-0.14092666873485099</v>
      </c>
      <c r="M1042" s="3">
        <f>1/(1+EXP(-L1042))</f>
        <v>0.46482652661044777</v>
      </c>
      <c r="T1042" s="3">
        <f t="shared" ref="T1042:T1048" si="206">$O$19</f>
        <v>0.2</v>
      </c>
      <c r="U1042" s="3">
        <f>U1027 + $O$7 * T1027 * T1036</f>
        <v>9.9931074469588377E-2</v>
      </c>
      <c r="V1042" s="3">
        <f>T1042*U1042+T1043*U1043</f>
        <v>5.9972429787835353E-2</v>
      </c>
      <c r="W1042" s="3">
        <f>1/(1+EXP(-V1042))</f>
        <v>0.51498861526310002</v>
      </c>
      <c r="X1042" s="3">
        <f>W1042</f>
        <v>0.51498861526310002</v>
      </c>
      <c r="Y1042" s="3">
        <f>Y1027 + $O$7 * X1027 * X1036</f>
        <v>0.1067101093037912</v>
      </c>
      <c r="Z1042" s="3">
        <f>X1042*Y1042+X1043*Y1043</f>
        <v>0.16557351694418793</v>
      </c>
      <c r="AA1042" s="3">
        <f>1/(1+EXP(-Z1042))</f>
        <v>0.5412990725571406</v>
      </c>
      <c r="AB1042" s="3">
        <f>AA1042</f>
        <v>0.5412990725571406</v>
      </c>
      <c r="AC1042" s="3">
        <f>AC1027 +  $P$19 * AB1027 * AB1036</f>
        <v>-0.47781405329106202</v>
      </c>
      <c r="AD1042" s="3">
        <f>AB1042*AC1042+AB1043*AC1043</f>
        <v>-0.13581403774956294</v>
      </c>
      <c r="AE1042" s="3">
        <f>1/(1+EXP(-AD1042))</f>
        <v>0.4660985851287171</v>
      </c>
    </row>
    <row r="1043" spans="2:31" x14ac:dyDescent="0.3">
      <c r="B1043" s="3">
        <f>$B$5</f>
        <v>0.1</v>
      </c>
      <c r="C1043" s="3">
        <f>C1028 + $O$7 * B1028 * B1036</f>
        <v>0.19993074983098769</v>
      </c>
      <c r="D1043" s="3">
        <f>B1042*C1044+B1043*C1045</f>
        <v>6.9984417585626388E-2</v>
      </c>
      <c r="E1043" s="3">
        <f>1/(1+EXP(-D1043))</f>
        <v>0.51748896682995571</v>
      </c>
      <c r="F1043" s="3">
        <f>E1043</f>
        <v>0.51748896682995571</v>
      </c>
      <c r="G1043" s="3">
        <f>G1028 + $O$7 * F1028 * F1036</f>
        <v>0.20701741333388249</v>
      </c>
      <c r="H1043" s="3">
        <f>F1042*G1044+F1043*G1045</f>
        <v>0.35213791728078025</v>
      </c>
      <c r="I1043" s="3">
        <f>1/(1+EXP(-H1043))</f>
        <v>0.58713592210383758</v>
      </c>
      <c r="J1043" s="3">
        <f>I1043</f>
        <v>0.58713592210383758</v>
      </c>
      <c r="K1043" s="3">
        <f>K1028 + $P$18 * J1028 * J1037</f>
        <v>0.20840889733712384</v>
      </c>
      <c r="L1043" s="3"/>
      <c r="M1043" s="3"/>
      <c r="T1043" s="3">
        <f t="shared" si="206"/>
        <v>0.2</v>
      </c>
      <c r="U1043" s="3">
        <f>U1028 + $O$7 * T1028 * T1036</f>
        <v>0.19993107446958835</v>
      </c>
      <c r="V1043" s="3">
        <f>T1042*U1044+T1043*U1045</f>
        <v>0.1399684690979614</v>
      </c>
      <c r="W1043" s="3">
        <f>1/(1+EXP(-V1043))</f>
        <v>0.53493510092359109</v>
      </c>
      <c r="X1043" s="3">
        <f>W1043</f>
        <v>0.53493510092359109</v>
      </c>
      <c r="Y1043" s="3">
        <f>Y1028 + $O$7 * X1028 * X1036</f>
        <v>0.20678961864395401</v>
      </c>
      <c r="Z1043" s="3">
        <f>X1042*Y1044+X1043*Y1045</f>
        <v>0.36128853073666489</v>
      </c>
      <c r="AA1043" s="3">
        <f>1/(1+EXP(-Z1043))</f>
        <v>0.58935231518917519</v>
      </c>
      <c r="AB1043" s="3">
        <f>AA1043</f>
        <v>0.58935231518917519</v>
      </c>
      <c r="AC1043" s="3">
        <f>AC1028 +  $P$19 * AB1028 * AB1037</f>
        <v>0.20840889733712384</v>
      </c>
      <c r="AD1043" s="3"/>
      <c r="AE1043" s="3"/>
    </row>
    <row r="1044" spans="2:31" x14ac:dyDescent="0.3">
      <c r="B1044" s="3">
        <f>$B$6</f>
        <v>0.1</v>
      </c>
      <c r="C1044" s="3">
        <f>C1029 + $O$7 * B1027 * B1037</f>
        <v>0.29992208792813191</v>
      </c>
      <c r="D1044" s="3"/>
      <c r="E1044" s="3"/>
      <c r="F1044" s="3"/>
      <c r="G1044" s="3">
        <f>G1029 + $O$7 * F1027 * F1037</f>
        <v>0.29312900108262607</v>
      </c>
      <c r="H1044" s="3"/>
      <c r="I1044" s="3"/>
      <c r="J1044" s="3"/>
      <c r="K1044" s="3"/>
      <c r="L1044" s="3"/>
      <c r="M1044" s="3"/>
      <c r="T1044" s="3">
        <f t="shared" si="206"/>
        <v>0.2</v>
      </c>
      <c r="U1044" s="3">
        <f>U1029 + $O$7 * T1027 * T1037</f>
        <v>0.29992117274490349</v>
      </c>
      <c r="V1044" s="3"/>
      <c r="W1044" s="3"/>
      <c r="X1044" s="3"/>
      <c r="Y1044" s="3">
        <f>Y1029 + $O$7 * X1027 * X1037</f>
        <v>0.29322041614485833</v>
      </c>
      <c r="Z1044" s="3"/>
      <c r="AA1044" s="3"/>
      <c r="AB1044" s="3"/>
      <c r="AC1044" s="3"/>
      <c r="AD1044" s="3"/>
      <c r="AE1044" s="3"/>
    </row>
    <row r="1045" spans="2:31" x14ac:dyDescent="0.3">
      <c r="B1045" s="3">
        <f>$B$7</f>
        <v>0.1</v>
      </c>
      <c r="C1045" s="3">
        <f>C1030 + $O$7 * B1028* B1037</f>
        <v>0.39992208792813194</v>
      </c>
      <c r="D1045" s="3"/>
      <c r="E1045" s="3"/>
      <c r="F1045" s="3"/>
      <c r="G1045" s="3">
        <f>G1030 + $O$7 * F1028* F1037</f>
        <v>0.39300572934111921</v>
      </c>
      <c r="H1045" s="3"/>
      <c r="I1045" s="3"/>
      <c r="J1045" s="3"/>
      <c r="K1045" s="3"/>
      <c r="L1045" s="3"/>
      <c r="M1045" s="3"/>
      <c r="T1045" s="3">
        <f t="shared" si="206"/>
        <v>0.2</v>
      </c>
      <c r="U1045" s="3">
        <f>U1030 + $O$7 * T1028* T1037</f>
        <v>0.39992117274490352</v>
      </c>
      <c r="V1045" s="3"/>
      <c r="W1045" s="3"/>
      <c r="X1045" s="3"/>
      <c r="Y1045" s="3">
        <f>Y1030 + $O$7 * X1028* X1037</f>
        <v>0.39310068510421181</v>
      </c>
      <c r="Z1045" s="3"/>
      <c r="AA1045" s="3"/>
      <c r="AB1045" s="3"/>
      <c r="AC1045" s="3"/>
      <c r="AD1045" s="3"/>
      <c r="AE1045" s="3"/>
    </row>
    <row r="1046" spans="2:31" x14ac:dyDescent="0.3">
      <c r="B1046" s="3">
        <f>$B$8</f>
        <v>0.1</v>
      </c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T1046" s="3">
        <f t="shared" si="206"/>
        <v>0.2</v>
      </c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</row>
    <row r="1047" spans="2:31" x14ac:dyDescent="0.3">
      <c r="B1047" s="3">
        <f>$B$9</f>
        <v>0.1</v>
      </c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T1047" s="3">
        <f t="shared" si="206"/>
        <v>0.2</v>
      </c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</row>
    <row r="1048" spans="2:31" x14ac:dyDescent="0.3">
      <c r="B1048" s="3">
        <f>$B$10</f>
        <v>0.1</v>
      </c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T1048" s="3">
        <f t="shared" si="206"/>
        <v>0.2</v>
      </c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</row>
    <row r="1049" spans="2:31" x14ac:dyDescent="0.3">
      <c r="B1049" s="3">
        <f>$B$11</f>
        <v>0.1</v>
      </c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T1049" s="3">
        <f>$B$11</f>
        <v>0.1</v>
      </c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</row>
    <row r="1055" spans="2:31" x14ac:dyDescent="0.3">
      <c r="B1055" s="8" t="s">
        <v>4</v>
      </c>
      <c r="C1055" s="8"/>
      <c r="D1055" s="8"/>
      <c r="E1055" s="8"/>
      <c r="F1055" s="8" t="s">
        <v>5</v>
      </c>
      <c r="G1055" s="8"/>
      <c r="H1055" s="8"/>
      <c r="I1055" s="8"/>
      <c r="J1055" s="8" t="s">
        <v>6</v>
      </c>
      <c r="K1055" s="8"/>
      <c r="L1055" s="8"/>
      <c r="M1055" s="8"/>
      <c r="T1055" s="9" t="s">
        <v>4</v>
      </c>
      <c r="U1055" s="10"/>
      <c r="V1055" s="10"/>
      <c r="W1055" s="11"/>
      <c r="X1055" s="9" t="s">
        <v>5</v>
      </c>
      <c r="Y1055" s="10"/>
      <c r="Z1055" s="10"/>
      <c r="AA1055" s="11"/>
      <c r="AB1055" s="9" t="s">
        <v>6</v>
      </c>
      <c r="AC1055" s="10"/>
      <c r="AD1055" s="10"/>
      <c r="AE1055" s="11"/>
    </row>
    <row r="1056" spans="2:31" x14ac:dyDescent="0.3">
      <c r="B1056" s="8"/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T1056" s="12"/>
      <c r="U1056" s="13"/>
      <c r="V1056" s="13"/>
      <c r="W1056" s="14"/>
      <c r="X1056" s="12"/>
      <c r="Y1056" s="13"/>
      <c r="Z1056" s="13"/>
      <c r="AA1056" s="14"/>
      <c r="AB1056" s="12"/>
      <c r="AC1056" s="13"/>
      <c r="AD1056" s="13"/>
      <c r="AE1056" s="14"/>
    </row>
    <row r="1057" spans="1:31" x14ac:dyDescent="0.3">
      <c r="B1057" s="3" t="s">
        <v>0</v>
      </c>
      <c r="C1057" s="3" t="s">
        <v>1</v>
      </c>
      <c r="D1057" s="3" t="s">
        <v>2</v>
      </c>
      <c r="E1057" s="3" t="s">
        <v>3</v>
      </c>
      <c r="F1057" s="3" t="s">
        <v>0</v>
      </c>
      <c r="G1057" s="3" t="s">
        <v>1</v>
      </c>
      <c r="H1057" s="3" t="s">
        <v>2</v>
      </c>
      <c r="I1057" s="3" t="s">
        <v>3</v>
      </c>
      <c r="J1057" s="3" t="s">
        <v>0</v>
      </c>
      <c r="K1057" s="3" t="s">
        <v>1</v>
      </c>
      <c r="L1057" s="3" t="s">
        <v>2</v>
      </c>
      <c r="M1057" s="3" t="s">
        <v>3</v>
      </c>
      <c r="T1057" s="3" t="s">
        <v>0</v>
      </c>
      <c r="U1057" s="3" t="s">
        <v>1</v>
      </c>
      <c r="V1057" s="3" t="s">
        <v>2</v>
      </c>
      <c r="W1057" s="3" t="s">
        <v>3</v>
      </c>
      <c r="X1057" s="3" t="s">
        <v>0</v>
      </c>
      <c r="Y1057" s="3" t="s">
        <v>1</v>
      </c>
      <c r="Z1057" s="3" t="s">
        <v>2</v>
      </c>
      <c r="AA1057" s="3" t="s">
        <v>3</v>
      </c>
      <c r="AB1057" s="3" t="s">
        <v>0</v>
      </c>
      <c r="AC1057" s="3" t="s">
        <v>1</v>
      </c>
      <c r="AD1057" s="3" t="s">
        <v>2</v>
      </c>
      <c r="AE1057" s="3" t="s">
        <v>3</v>
      </c>
    </row>
    <row r="1058" spans="1:31" x14ac:dyDescent="0.3">
      <c r="B1058" s="3">
        <f>$B$4</f>
        <v>0.1</v>
      </c>
      <c r="C1058" s="3">
        <f>U1042</f>
        <v>9.9931074469588377E-2</v>
      </c>
      <c r="D1058" s="3">
        <f>B1058*C1058+B1059*C1059</f>
        <v>2.9986214893917677E-2</v>
      </c>
      <c r="E1058" s="3">
        <f>1/(1+EXP(-D1058))</f>
        <v>0.50749599204903961</v>
      </c>
      <c r="F1058" s="3">
        <f>E1058</f>
        <v>0.50749599204903961</v>
      </c>
      <c r="G1058" s="3">
        <f>Y1042</f>
        <v>0.1067101093037912</v>
      </c>
      <c r="H1058" s="3">
        <f>F1058*G1058+F1059*G1059</f>
        <v>0.16116628943506667</v>
      </c>
      <c r="I1058" s="3">
        <f>1/(1+EXP(-H1058))</f>
        <v>0.54020458526525139</v>
      </c>
      <c r="J1058" s="3">
        <f>I1058</f>
        <v>0.54020458526525139</v>
      </c>
      <c r="K1058" s="3">
        <f>AC1042</f>
        <v>-0.47781405329106202</v>
      </c>
      <c r="L1058" s="3">
        <f>J1058*K1058+J1059*K1059</f>
        <v>-0.13574816685849322</v>
      </c>
      <c r="M1058" s="3">
        <f>1/(1+EXP(-L1058))</f>
        <v>0.46611497718227818</v>
      </c>
      <c r="T1058" s="3">
        <f>$O$19</f>
        <v>0.2</v>
      </c>
      <c r="U1058" s="3">
        <f>C1073</f>
        <v>9.9930719392556974E-2</v>
      </c>
      <c r="V1058" s="3">
        <f>T1058*U1058+T1059*U1059</f>
        <v>5.9972287757022791E-2</v>
      </c>
      <c r="W1058" s="3">
        <f>1/(1+EXP(-V1058))</f>
        <v>0.51498857978730517</v>
      </c>
      <c r="X1058" s="3">
        <f>W1058</f>
        <v>0.51498857978730517</v>
      </c>
      <c r="Y1058" s="3">
        <f>G1073</f>
        <v>0.10710832125518832</v>
      </c>
      <c r="Z1058" s="3">
        <f>X1058*Y1058+X1059*Y1059</f>
        <v>0.16599581571152078</v>
      </c>
      <c r="AA1058" s="3">
        <f>1/(1+EXP(-Z1058))</f>
        <v>0.54140392514029523</v>
      </c>
      <c r="AB1058" s="3">
        <f>AA1058</f>
        <v>0.54140392514029523</v>
      </c>
      <c r="AC1058" s="3">
        <f>K1073</f>
        <v>-0.49210029882249168</v>
      </c>
      <c r="AD1058" s="3">
        <f>AB1058*AC1058+AB1059*AC1059</f>
        <v>-0.14360783286481021</v>
      </c>
      <c r="AE1058" s="3">
        <f>1/(1+EXP(-AD1058))</f>
        <v>0.46415961593554211</v>
      </c>
    </row>
    <row r="1059" spans="1:31" x14ac:dyDescent="0.3">
      <c r="B1059" s="3">
        <f>$B$5</f>
        <v>0.1</v>
      </c>
      <c r="C1059" s="3">
        <f>U1043</f>
        <v>0.19993107446958835</v>
      </c>
      <c r="D1059" s="3">
        <f>B1058*C1060+B1059*C1061</f>
        <v>6.9984234548980701E-2</v>
      </c>
      <c r="E1059" s="3">
        <f>1/(1+EXP(-D1059))</f>
        <v>0.51748892112677847</v>
      </c>
      <c r="F1059" s="3">
        <f>E1059</f>
        <v>0.51748892112677847</v>
      </c>
      <c r="G1059" s="3">
        <f t="shared" ref="G1059:G1061" si="207">Y1043</f>
        <v>0.20678961864395401</v>
      </c>
      <c r="H1059" s="3">
        <f>F1058*G1060+F1059*G1061</f>
        <v>0.35223343540924312</v>
      </c>
      <c r="I1059" s="3">
        <f>1/(1+EXP(-H1059))</f>
        <v>0.58715907620569741</v>
      </c>
      <c r="J1059" s="3">
        <f>I1059</f>
        <v>0.58715907620569741</v>
      </c>
      <c r="K1059" s="3">
        <f>AC1043</f>
        <v>0.20840889733712384</v>
      </c>
      <c r="L1059" s="3"/>
      <c r="M1059" s="3"/>
      <c r="T1059" s="3">
        <f t="shared" ref="T1059:T1065" si="208">$O$19</f>
        <v>0.2</v>
      </c>
      <c r="U1059" s="3">
        <f t="shared" ref="U1059:U1061" si="209">C1074</f>
        <v>0.19993071939255697</v>
      </c>
      <c r="V1059" s="3">
        <f>T1058*U1060+T1059*U1061</f>
        <v>0.1399687783342197</v>
      </c>
      <c r="W1059" s="3">
        <f>1/(1+EXP(-V1059))</f>
        <v>0.53493517785524403</v>
      </c>
      <c r="X1059" s="3">
        <f>W1059</f>
        <v>0.53493517785524403</v>
      </c>
      <c r="Y1059" s="3">
        <f t="shared" ref="Y1059:Y1061" si="210">G1074</f>
        <v>0.20719567164996155</v>
      </c>
      <c r="Z1059" s="3">
        <f>X1058*Y1060+X1059*Y1061</f>
        <v>0.36110879585728095</v>
      </c>
      <c r="AA1059" s="3">
        <f>1/(1+EXP(-Z1059))</f>
        <v>0.58930881574469884</v>
      </c>
      <c r="AB1059" s="3">
        <f>AA1059</f>
        <v>0.58930881574469884</v>
      </c>
      <c r="AC1059" s="3">
        <f>K1074</f>
        <v>0.20840889733712384</v>
      </c>
      <c r="AD1059" s="3"/>
      <c r="AE1059" s="3"/>
    </row>
    <row r="1060" spans="1:31" x14ac:dyDescent="0.3">
      <c r="B1060" s="3">
        <f>$B$6</f>
        <v>0.1</v>
      </c>
      <c r="C1060" s="3">
        <f t="shared" ref="C1060:C1061" si="211">U1044</f>
        <v>0.29992117274490349</v>
      </c>
      <c r="D1060" s="3"/>
      <c r="E1060" s="3"/>
      <c r="F1060" s="3"/>
      <c r="G1060" s="3">
        <f t="shared" si="207"/>
        <v>0.29322041614485833</v>
      </c>
      <c r="H1060" s="3"/>
      <c r="I1060" s="3"/>
      <c r="J1060" s="3"/>
      <c r="K1060" s="3"/>
      <c r="L1060" s="3"/>
      <c r="M1060" s="3"/>
      <c r="T1060" s="3">
        <f t="shared" si="208"/>
        <v>0.2</v>
      </c>
      <c r="U1060" s="3">
        <f t="shared" si="209"/>
        <v>0.29992194583554921</v>
      </c>
      <c r="V1060" s="3"/>
      <c r="W1060" s="3"/>
      <c r="X1060" s="3"/>
      <c r="Y1060" s="3">
        <f t="shared" si="210"/>
        <v>0.29305090929824074</v>
      </c>
      <c r="Z1060" s="3"/>
      <c r="AA1060" s="3"/>
      <c r="AB1060" s="3"/>
      <c r="AC1060" s="3"/>
      <c r="AD1060" s="3"/>
      <c r="AE1060" s="3"/>
    </row>
    <row r="1061" spans="1:31" x14ac:dyDescent="0.3">
      <c r="B1061" s="3">
        <f>$B$7</f>
        <v>0.1</v>
      </c>
      <c r="C1061" s="3">
        <f t="shared" si="211"/>
        <v>0.39992117274490352</v>
      </c>
      <c r="D1061" s="3"/>
      <c r="E1061" s="3"/>
      <c r="F1061" s="3"/>
      <c r="G1061" s="3">
        <f t="shared" si="207"/>
        <v>0.39310068510421181</v>
      </c>
      <c r="H1061" s="3"/>
      <c r="I1061" s="3"/>
      <c r="J1061" s="3"/>
      <c r="K1061" s="3"/>
      <c r="L1061" s="3"/>
      <c r="M1061" s="3"/>
      <c r="T1061" s="3">
        <f t="shared" si="208"/>
        <v>0.2</v>
      </c>
      <c r="U1061" s="3">
        <f t="shared" si="209"/>
        <v>0.39992194583554924</v>
      </c>
      <c r="V1061" s="3"/>
      <c r="W1061" s="3"/>
      <c r="X1061" s="3"/>
      <c r="Y1061" s="3">
        <f t="shared" si="210"/>
        <v>0.39292784055656216</v>
      </c>
      <c r="Z1061" s="3"/>
      <c r="AA1061" s="3"/>
      <c r="AB1061" s="3"/>
      <c r="AC1061" s="3"/>
      <c r="AD1061" s="3"/>
      <c r="AE1061" s="3"/>
    </row>
    <row r="1062" spans="1:31" x14ac:dyDescent="0.3">
      <c r="B1062" s="3">
        <f>$B$8</f>
        <v>0.1</v>
      </c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T1062" s="3">
        <f t="shared" si="208"/>
        <v>0.2</v>
      </c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</row>
    <row r="1063" spans="1:31" x14ac:dyDescent="0.3">
      <c r="B1063" s="3">
        <f>$B$9</f>
        <v>0.1</v>
      </c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T1063" s="3">
        <f t="shared" si="208"/>
        <v>0.2</v>
      </c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</row>
    <row r="1064" spans="1:31" x14ac:dyDescent="0.3">
      <c r="B1064" s="3">
        <f>$B$10</f>
        <v>0.1</v>
      </c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T1064" s="3">
        <f t="shared" si="208"/>
        <v>0.2</v>
      </c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</row>
    <row r="1065" spans="1:31" x14ac:dyDescent="0.3">
      <c r="B1065" s="3">
        <f>$B$11</f>
        <v>0.1</v>
      </c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T1065" s="3">
        <f t="shared" si="208"/>
        <v>0.2</v>
      </c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</row>
    <row r="1067" spans="1:31" x14ac:dyDescent="0.3">
      <c r="A1067" s="4" t="s">
        <v>7</v>
      </c>
      <c r="B1067" s="5">
        <f>E1058 * (1 - E1058) * (G1058 * F1067 + G1060 * F1068)</f>
        <v>-3.5507703139676452E-5</v>
      </c>
      <c r="C1067" s="6"/>
      <c r="D1067" s="6"/>
      <c r="E1067" s="7"/>
      <c r="F1067" s="5">
        <f>I1058 * (1 - I1058) * K1058 *J1067</f>
        <v>7.8466028823069855E-3</v>
      </c>
      <c r="G1067" s="6"/>
      <c r="H1067" s="6"/>
      <c r="I1067" s="7"/>
      <c r="J1067" s="5">
        <f>$P$18 - M1058</f>
        <v>-6.6114977182278156E-2</v>
      </c>
      <c r="K1067" s="6"/>
      <c r="L1067" s="6"/>
      <c r="M1067" s="7"/>
      <c r="S1067" s="4" t="s">
        <v>7</v>
      </c>
      <c r="T1067" s="5">
        <f>W1058 * (1 - W1058) * (Y1058 * X1067 + Y1060 * X1068)</f>
        <v>1.5172086540446377E-5</v>
      </c>
      <c r="U1067" s="6"/>
      <c r="V1067" s="6"/>
      <c r="W1067" s="7"/>
      <c r="X1067" s="5">
        <f>AA1058 * (1 - AA1058) * AC1058 *AB1067</f>
        <v>-4.3790309729491855E-3</v>
      </c>
      <c r="Y1067" s="6"/>
      <c r="Z1067" s="6"/>
      <c r="AA1067" s="7"/>
      <c r="AB1067" s="5">
        <f>$P$19 - AE1058</f>
        <v>3.5840384064457886E-2</v>
      </c>
      <c r="AC1067" s="6"/>
      <c r="AD1067" s="6"/>
      <c r="AE1067" s="7"/>
    </row>
    <row r="1068" spans="1:31" x14ac:dyDescent="0.3">
      <c r="B1068" s="5">
        <f>E1059 * (1 - E1059) * (G1059 * F1067 + G1061 * F1068)</f>
        <v>7.7309064574148371E-5</v>
      </c>
      <c r="C1068" s="6"/>
      <c r="D1068" s="6"/>
      <c r="E1068" s="7"/>
      <c r="F1068" s="5">
        <f>J1059 * (1 - J1059) * K1059 * J1067</f>
        <v>-3.340062764499511E-3</v>
      </c>
      <c r="G1068" s="6"/>
      <c r="H1068" s="6"/>
      <c r="I1068" s="7"/>
      <c r="T1068" s="5">
        <f>W1059 * (1 - W1059) * (Y1059 * X1067 + Y1061 * X1068)</f>
        <v>-4.9006202144280635E-5</v>
      </c>
      <c r="U1068" s="6"/>
      <c r="V1068" s="6"/>
      <c r="W1068" s="7"/>
      <c r="X1068" s="5">
        <f>AB1059 * (1 - AB1059) * AC1059 * AB1067</f>
        <v>1.8077868759866066E-3</v>
      </c>
      <c r="Y1068" s="6"/>
      <c r="Z1068" s="6"/>
      <c r="AA1068" s="7"/>
    </row>
    <row r="1070" spans="1:31" x14ac:dyDescent="0.3">
      <c r="B1070" s="8" t="s">
        <v>4</v>
      </c>
      <c r="C1070" s="8"/>
      <c r="D1070" s="8"/>
      <c r="E1070" s="8"/>
      <c r="F1070" s="8" t="s">
        <v>5</v>
      </c>
      <c r="G1070" s="8"/>
      <c r="H1070" s="8"/>
      <c r="I1070" s="8"/>
      <c r="J1070" s="8" t="s">
        <v>6</v>
      </c>
      <c r="K1070" s="8"/>
      <c r="L1070" s="8"/>
      <c r="M1070" s="8"/>
      <c r="T1070" s="9" t="s">
        <v>4</v>
      </c>
      <c r="U1070" s="10"/>
      <c r="V1070" s="10"/>
      <c r="W1070" s="11"/>
      <c r="X1070" s="9" t="s">
        <v>5</v>
      </c>
      <c r="Y1070" s="10"/>
      <c r="Z1070" s="10"/>
      <c r="AA1070" s="11"/>
      <c r="AB1070" s="9" t="s">
        <v>6</v>
      </c>
      <c r="AC1070" s="10"/>
      <c r="AD1070" s="10"/>
      <c r="AE1070" s="11"/>
    </row>
    <row r="1071" spans="1:31" x14ac:dyDescent="0.3">
      <c r="B1071" s="8"/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T1071" s="12"/>
      <c r="U1071" s="13"/>
      <c r="V1071" s="13"/>
      <c r="W1071" s="14"/>
      <c r="X1071" s="12"/>
      <c r="Y1071" s="13"/>
      <c r="Z1071" s="13"/>
      <c r="AA1071" s="14"/>
      <c r="AB1071" s="12"/>
      <c r="AC1071" s="13"/>
      <c r="AD1071" s="13"/>
      <c r="AE1071" s="14"/>
    </row>
    <row r="1072" spans="1:31" x14ac:dyDescent="0.3">
      <c r="B1072" s="3" t="s">
        <v>0</v>
      </c>
      <c r="C1072" s="3" t="s">
        <v>1</v>
      </c>
      <c r="D1072" s="3" t="s">
        <v>2</v>
      </c>
      <c r="E1072" s="3" t="s">
        <v>3</v>
      </c>
      <c r="F1072" s="3" t="s">
        <v>0</v>
      </c>
      <c r="G1072" s="3" t="s">
        <v>1</v>
      </c>
      <c r="H1072" s="3" t="s">
        <v>2</v>
      </c>
      <c r="I1072" s="3" t="s">
        <v>3</v>
      </c>
      <c r="J1072" s="3" t="s">
        <v>0</v>
      </c>
      <c r="K1072" s="3" t="s">
        <v>1</v>
      </c>
      <c r="L1072" s="3" t="s">
        <v>2</v>
      </c>
      <c r="M1072" s="3" t="s">
        <v>3</v>
      </c>
      <c r="T1072" s="3">
        <f>$O$19</f>
        <v>0.2</v>
      </c>
      <c r="U1072" s="3" t="s">
        <v>1</v>
      </c>
      <c r="V1072" s="3" t="s">
        <v>2</v>
      </c>
      <c r="W1072" s="3" t="s">
        <v>3</v>
      </c>
      <c r="X1072" s="3" t="s">
        <v>0</v>
      </c>
      <c r="Y1072" s="3" t="s">
        <v>1</v>
      </c>
      <c r="Z1072" s="3" t="s">
        <v>2</v>
      </c>
      <c r="AA1072" s="3" t="s">
        <v>3</v>
      </c>
      <c r="AB1072" s="3" t="s">
        <v>0</v>
      </c>
      <c r="AC1072" s="3" t="s">
        <v>1</v>
      </c>
      <c r="AD1072" s="3" t="s">
        <v>2</v>
      </c>
      <c r="AE1072" s="3" t="s">
        <v>3</v>
      </c>
    </row>
    <row r="1073" spans="2:31" x14ac:dyDescent="0.3">
      <c r="B1073" s="3">
        <f>$B$4</f>
        <v>0.1</v>
      </c>
      <c r="C1073" s="3">
        <f>C1058 + $O$7 * B1058 * B1067</f>
        <v>9.9930719392556974E-2</v>
      </c>
      <c r="D1073" s="3">
        <f>B1073*C1073+B1074*C1074</f>
        <v>2.9986143878511395E-2</v>
      </c>
      <c r="E1073" s="3">
        <f>1/(1+EXP(-D1073))</f>
        <v>0.50749597429917837</v>
      </c>
      <c r="F1073" s="3">
        <f>E1073</f>
        <v>0.50749597429917837</v>
      </c>
      <c r="G1073" s="3">
        <f>G1058 + $O$7 * F1058 * F1067</f>
        <v>0.10710832125518832</v>
      </c>
      <c r="H1073" s="3">
        <f>F1073*G1073+F1074*G1074</f>
        <v>0.16157851443448112</v>
      </c>
      <c r="I1073" s="3">
        <f>1/(1+EXP(-H1073))</f>
        <v>0.54030697349267498</v>
      </c>
      <c r="J1073" s="3">
        <f>I1073</f>
        <v>0.54030697349267498</v>
      </c>
      <c r="K1073" s="3">
        <f>K1058 + $P$18 * J1058 * J1067</f>
        <v>-0.49210029882249168</v>
      </c>
      <c r="L1073" s="3">
        <f>J1073*K1073+J1074*K1074</f>
        <v>-0.1435249116383687</v>
      </c>
      <c r="M1073" s="3">
        <f>1/(1+EXP(-L1073))</f>
        <v>0.4641802397883707</v>
      </c>
      <c r="T1073" s="3">
        <f t="shared" ref="T1073:T1079" si="212">$O$19</f>
        <v>0.2</v>
      </c>
      <c r="U1073" s="3">
        <f>U1058 + $O$7 * T1058 * T1067</f>
        <v>9.9931022834287786E-2</v>
      </c>
      <c r="V1073" s="3">
        <f>T1073*U1073+T1074*U1074</f>
        <v>5.9972409133715113E-2</v>
      </c>
      <c r="W1073" s="3">
        <f>1/(1+EXP(-V1073))</f>
        <v>0.51498861010421004</v>
      </c>
      <c r="X1073" s="3">
        <f>W1073</f>
        <v>0.51498861010421004</v>
      </c>
      <c r="Y1073" s="3">
        <f>Y1058 + $O$7 * X1058 * X1067</f>
        <v>0.10688280616102795</v>
      </c>
      <c r="Z1073" s="3">
        <f>X1073*Y1073+X1074*Y1074</f>
        <v>0.16575435262501714</v>
      </c>
      <c r="AA1073" s="3">
        <f>1/(1+EXP(-Z1073))</f>
        <v>0.54134397270613632</v>
      </c>
      <c r="AB1073" s="3">
        <f>AA1073</f>
        <v>0.54134397270613632</v>
      </c>
      <c r="AC1073" s="3">
        <f>AC1058 +  $P$19 * AB1058 * AB1067</f>
        <v>-0.48239823651697511</v>
      </c>
      <c r="AD1073" s="3">
        <f>AB1073*AC1073+AB1074*AC1074</f>
        <v>-0.13832115119348357</v>
      </c>
      <c r="AE1073" s="3">
        <f>1/(1+EXP(-AD1073))</f>
        <v>0.46547474155824886</v>
      </c>
    </row>
    <row r="1074" spans="2:31" x14ac:dyDescent="0.3">
      <c r="B1074" s="3">
        <f>$B$5</f>
        <v>0.1</v>
      </c>
      <c r="C1074" s="3">
        <f>C1059 + $O$7 * B1059 * B1067</f>
        <v>0.19993071939255697</v>
      </c>
      <c r="D1074" s="3">
        <f>B1073*C1075+B1074*C1076</f>
        <v>6.9984389167109848E-2</v>
      </c>
      <c r="E1074" s="3">
        <f>1/(1+EXP(-D1074))</f>
        <v>0.51748895973401876</v>
      </c>
      <c r="F1074" s="3">
        <f>E1074</f>
        <v>0.51748895973401876</v>
      </c>
      <c r="G1074" s="3">
        <f>G1059 + $O$7 * F1059 * F1067</f>
        <v>0.20719567164996155</v>
      </c>
      <c r="H1074" s="3">
        <f>F1073*G1075+F1074*G1076</f>
        <v>0.35205797619372059</v>
      </c>
      <c r="I1074" s="3">
        <f>1/(1+EXP(-H1074))</f>
        <v>0.58711654366330512</v>
      </c>
      <c r="J1074" s="3">
        <f>I1074</f>
        <v>0.58711654366330512</v>
      </c>
      <c r="K1074" s="3">
        <f>K1059 + $P$18 * J1059 * J1068</f>
        <v>0.20840889733712384</v>
      </c>
      <c r="L1074" s="3"/>
      <c r="M1074" s="3"/>
      <c r="T1074" s="3">
        <f t="shared" si="212"/>
        <v>0.2</v>
      </c>
      <c r="U1074" s="3">
        <f>U1059 + $O$7 * T1059 * T1067</f>
        <v>0.19993102283428776</v>
      </c>
      <c r="V1074" s="3">
        <f>T1073*U1075+T1074*U1076</f>
        <v>0.13996838628460256</v>
      </c>
      <c r="W1074" s="3">
        <f>1/(1+EXP(-V1074))</f>
        <v>0.53493508032132187</v>
      </c>
      <c r="X1074" s="3">
        <f>W1074</f>
        <v>0.53493508032132187</v>
      </c>
      <c r="Y1074" s="3">
        <f>Y1059 + $O$7 * X1059 * X1067</f>
        <v>0.20696142187872674</v>
      </c>
      <c r="Z1074" s="3">
        <f>X1073*Y1075+X1074*Y1076</f>
        <v>0.36120844215411241</v>
      </c>
      <c r="AA1074" s="3">
        <f>1/(1+EXP(-Z1074))</f>
        <v>0.58933293231896866</v>
      </c>
      <c r="AB1074" s="3">
        <f>AA1074</f>
        <v>0.58933293231896866</v>
      </c>
      <c r="AC1074" s="3">
        <f>AC1059 +  $P$19 * AB1059 * AB1068</f>
        <v>0.20840889733712384</v>
      </c>
      <c r="AD1074" s="3"/>
      <c r="AE1074" s="3"/>
    </row>
    <row r="1075" spans="2:31" x14ac:dyDescent="0.3">
      <c r="B1075" s="3">
        <f>$B$6</f>
        <v>0.1</v>
      </c>
      <c r="C1075" s="3">
        <f>C1060 + $O$7 * B1058 * B1068</f>
        <v>0.29992194583554921</v>
      </c>
      <c r="D1075" s="3"/>
      <c r="E1075" s="3"/>
      <c r="F1075" s="3"/>
      <c r="G1075" s="3">
        <f>G1060 + $O$7 * F1058 * F1068</f>
        <v>0.29305090929824074</v>
      </c>
      <c r="H1075" s="3"/>
      <c r="I1075" s="3"/>
      <c r="J1075" s="3"/>
      <c r="K1075" s="3"/>
      <c r="L1075" s="3"/>
      <c r="M1075" s="3"/>
      <c r="T1075" s="3">
        <f t="shared" si="212"/>
        <v>0.2</v>
      </c>
      <c r="U1075" s="3">
        <f>U1060 + $O$7 * T1058 * T1068</f>
        <v>0.29992096571150634</v>
      </c>
      <c r="V1075" s="3"/>
      <c r="W1075" s="3"/>
      <c r="X1075" s="3"/>
      <c r="Y1075" s="3">
        <f>Y1060 + $O$7 * X1058 * X1068</f>
        <v>0.293144008257823</v>
      </c>
      <c r="Z1075" s="3"/>
      <c r="AA1075" s="3"/>
      <c r="AB1075" s="3"/>
      <c r="AC1075" s="3"/>
      <c r="AD1075" s="3"/>
      <c r="AE1075" s="3"/>
    </row>
    <row r="1076" spans="2:31" x14ac:dyDescent="0.3">
      <c r="B1076" s="3">
        <f>$B$7</f>
        <v>0.1</v>
      </c>
      <c r="C1076" s="3">
        <f>C1061 + $O$7 * B1059* B1068</f>
        <v>0.39992194583554924</v>
      </c>
      <c r="D1076" s="3"/>
      <c r="E1076" s="3"/>
      <c r="F1076" s="3"/>
      <c r="G1076" s="3">
        <f>G1061 + $O$7 * F1059* F1068</f>
        <v>0.39292784055656216</v>
      </c>
      <c r="H1076" s="3"/>
      <c r="I1076" s="3"/>
      <c r="J1076" s="3"/>
      <c r="K1076" s="3"/>
      <c r="L1076" s="3"/>
      <c r="M1076" s="3"/>
      <c r="T1076" s="3">
        <f t="shared" si="212"/>
        <v>0.2</v>
      </c>
      <c r="U1076" s="3">
        <f>U1061 + $O$7 * T1059* T1068</f>
        <v>0.39992096571150637</v>
      </c>
      <c r="V1076" s="3"/>
      <c r="W1076" s="3"/>
      <c r="X1076" s="3"/>
      <c r="Y1076" s="3">
        <f>Y1061 + $O$7 * X1059* X1068</f>
        <v>0.39302454543596521</v>
      </c>
      <c r="Z1076" s="3"/>
      <c r="AA1076" s="3"/>
      <c r="AB1076" s="3"/>
      <c r="AC1076" s="3"/>
      <c r="AD1076" s="3"/>
      <c r="AE1076" s="3"/>
    </row>
    <row r="1077" spans="2:31" x14ac:dyDescent="0.3">
      <c r="B1077" s="3">
        <f>$B$8</f>
        <v>0.1</v>
      </c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T1077" s="3">
        <f t="shared" si="212"/>
        <v>0.2</v>
      </c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</row>
    <row r="1078" spans="2:31" x14ac:dyDescent="0.3">
      <c r="B1078" s="3">
        <f>$B$9</f>
        <v>0.1</v>
      </c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T1078" s="3">
        <f t="shared" si="212"/>
        <v>0.2</v>
      </c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</row>
    <row r="1079" spans="2:31" x14ac:dyDescent="0.3">
      <c r="B1079" s="3">
        <f>$B$10</f>
        <v>0.1</v>
      </c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T1079" s="3">
        <f t="shared" si="212"/>
        <v>0.2</v>
      </c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</row>
    <row r="1080" spans="2:31" x14ac:dyDescent="0.3">
      <c r="B1080" s="3">
        <f>$B$11</f>
        <v>0.1</v>
      </c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T1080" s="3">
        <f>$B$11</f>
        <v>0.1</v>
      </c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</row>
    <row r="1086" spans="2:31" x14ac:dyDescent="0.3">
      <c r="B1086" s="8" t="s">
        <v>4</v>
      </c>
      <c r="C1086" s="8"/>
      <c r="D1086" s="8"/>
      <c r="E1086" s="8"/>
      <c r="F1086" s="8" t="s">
        <v>5</v>
      </c>
      <c r="G1086" s="8"/>
      <c r="H1086" s="8"/>
      <c r="I1086" s="8"/>
      <c r="J1086" s="8" t="s">
        <v>6</v>
      </c>
      <c r="K1086" s="8"/>
      <c r="L1086" s="8"/>
      <c r="M1086" s="8"/>
      <c r="T1086" s="9" t="s">
        <v>4</v>
      </c>
      <c r="U1086" s="10"/>
      <c r="V1086" s="10"/>
      <c r="W1086" s="11"/>
      <c r="X1086" s="9" t="s">
        <v>5</v>
      </c>
      <c r="Y1086" s="10"/>
      <c r="Z1086" s="10"/>
      <c r="AA1086" s="11"/>
      <c r="AB1086" s="9" t="s">
        <v>6</v>
      </c>
      <c r="AC1086" s="10"/>
      <c r="AD1086" s="10"/>
      <c r="AE1086" s="11"/>
    </row>
    <row r="1087" spans="2:31" x14ac:dyDescent="0.3">
      <c r="B1087" s="8"/>
      <c r="C1087" s="8"/>
      <c r="D1087" s="8"/>
      <c r="E1087" s="8"/>
      <c r="F1087" s="8"/>
      <c r="G1087" s="8"/>
      <c r="H1087" s="8"/>
      <c r="I1087" s="8"/>
      <c r="J1087" s="8"/>
      <c r="K1087" s="8"/>
      <c r="L1087" s="8"/>
      <c r="M1087" s="8"/>
      <c r="T1087" s="12"/>
      <c r="U1087" s="13"/>
      <c r="V1087" s="13"/>
      <c r="W1087" s="14"/>
      <c r="X1087" s="12"/>
      <c r="Y1087" s="13"/>
      <c r="Z1087" s="13"/>
      <c r="AA1087" s="14"/>
      <c r="AB1087" s="12"/>
      <c r="AC1087" s="13"/>
      <c r="AD1087" s="13"/>
      <c r="AE1087" s="14"/>
    </row>
    <row r="1088" spans="2:31" x14ac:dyDescent="0.3">
      <c r="B1088" s="3" t="s">
        <v>0</v>
      </c>
      <c r="C1088" s="3" t="s">
        <v>1</v>
      </c>
      <c r="D1088" s="3" t="s">
        <v>2</v>
      </c>
      <c r="E1088" s="3" t="s">
        <v>3</v>
      </c>
      <c r="F1088" s="3" t="s">
        <v>0</v>
      </c>
      <c r="G1088" s="3" t="s">
        <v>1</v>
      </c>
      <c r="H1088" s="3" t="s">
        <v>2</v>
      </c>
      <c r="I1088" s="3" t="s">
        <v>3</v>
      </c>
      <c r="J1088" s="3" t="s">
        <v>0</v>
      </c>
      <c r="K1088" s="3" t="s">
        <v>1</v>
      </c>
      <c r="L1088" s="3" t="s">
        <v>2</v>
      </c>
      <c r="M1088" s="3" t="s">
        <v>3</v>
      </c>
      <c r="T1088" s="3" t="s">
        <v>0</v>
      </c>
      <c r="U1088" s="3" t="s">
        <v>1</v>
      </c>
      <c r="V1088" s="3" t="s">
        <v>2</v>
      </c>
      <c r="W1088" s="3" t="s">
        <v>3</v>
      </c>
      <c r="X1088" s="3" t="s">
        <v>0</v>
      </c>
      <c r="Y1088" s="3" t="s">
        <v>1</v>
      </c>
      <c r="Z1088" s="3" t="s">
        <v>2</v>
      </c>
      <c r="AA1088" s="3" t="s">
        <v>3</v>
      </c>
      <c r="AB1088" s="3" t="s">
        <v>0</v>
      </c>
      <c r="AC1088" s="3" t="s">
        <v>1</v>
      </c>
      <c r="AD1088" s="3" t="s">
        <v>2</v>
      </c>
      <c r="AE1088" s="3" t="s">
        <v>3</v>
      </c>
    </row>
    <row r="1089" spans="1:31" x14ac:dyDescent="0.3">
      <c r="B1089" s="3">
        <f>$B$4</f>
        <v>0.1</v>
      </c>
      <c r="C1089" s="3">
        <f>U1073</f>
        <v>9.9931022834287786E-2</v>
      </c>
      <c r="D1089" s="3">
        <f>B1089*C1089+B1090*C1090</f>
        <v>2.9986204566857556E-2</v>
      </c>
      <c r="E1089" s="3">
        <f>1/(1+EXP(-D1089))</f>
        <v>0.50749598946785479</v>
      </c>
      <c r="F1089" s="3">
        <f>E1089</f>
        <v>0.50749598946785479</v>
      </c>
      <c r="G1089" s="3">
        <f>Y1073</f>
        <v>0.10688280616102795</v>
      </c>
      <c r="H1089" s="3">
        <f>F1089*G1089+F1090*G1090</f>
        <v>0.16134283625290297</v>
      </c>
      <c r="I1089" s="3">
        <f>1/(1+EXP(-H1089))</f>
        <v>0.54024843628653418</v>
      </c>
      <c r="J1089" s="3">
        <f>I1089</f>
        <v>0.54024843628653418</v>
      </c>
      <c r="K1089" s="3">
        <f>AC1073</f>
        <v>-0.48239823651697511</v>
      </c>
      <c r="L1089" s="3">
        <f>J1089*K1089+J1090*K1090</f>
        <v>-0.1382496670638706</v>
      </c>
      <c r="M1089" s="3">
        <f>1/(1+EXP(-L1089))</f>
        <v>0.46549252742592445</v>
      </c>
      <c r="T1089" s="3">
        <f>$O$19</f>
        <v>0.2</v>
      </c>
      <c r="U1089" s="3">
        <f>C1104</f>
        <v>9.9930694946023566E-2</v>
      </c>
      <c r="V1089" s="3">
        <f>T1089*U1089+T1090*U1090</f>
        <v>5.9972277978409427E-2</v>
      </c>
      <c r="W1089" s="3">
        <f>1/(1+EXP(-V1089))</f>
        <v>0.51498857734484871</v>
      </c>
      <c r="X1089" s="3">
        <f>W1089</f>
        <v>0.51498857734484871</v>
      </c>
      <c r="Y1089" s="3">
        <f>G1104</f>
        <v>0.10728104793170813</v>
      </c>
      <c r="Z1089" s="3">
        <f>X1089*Y1089+X1090*Y1090</f>
        <v>0.16617668402398966</v>
      </c>
      <c r="AA1089" s="3">
        <f>1/(1+EXP(-Z1089))</f>
        <v>0.54144883182216119</v>
      </c>
      <c r="AB1089" s="3">
        <f>AA1089</f>
        <v>0.54144883182216119</v>
      </c>
      <c r="AC1089" s="3">
        <f>K1104</f>
        <v>-0.49655113072909857</v>
      </c>
      <c r="AD1089" s="3">
        <f>AB1089*AC1089+AB1090*AC1090</f>
        <v>-0.14604378353580338</v>
      </c>
      <c r="AE1089" s="3">
        <f>1/(1+EXP(-AD1089))</f>
        <v>0.46355381051678596</v>
      </c>
    </row>
    <row r="1090" spans="1:31" x14ac:dyDescent="0.3">
      <c r="B1090" s="3">
        <f>$B$5</f>
        <v>0.1</v>
      </c>
      <c r="C1090" s="3">
        <f>U1074</f>
        <v>0.19993102283428776</v>
      </c>
      <c r="D1090" s="3">
        <f>B1089*C1091+B1090*C1092</f>
        <v>6.9984193142301282E-2</v>
      </c>
      <c r="E1090" s="3">
        <f>1/(1+EXP(-D1090))</f>
        <v>0.51748891078777337</v>
      </c>
      <c r="F1090" s="3">
        <f>E1090</f>
        <v>0.51748891078777337</v>
      </c>
      <c r="G1090" s="3">
        <f t="shared" ref="G1090:G1092" si="213">Y1074</f>
        <v>0.20696142187872674</v>
      </c>
      <c r="H1090" s="3">
        <f>F1089*G1091+F1090*G1092</f>
        <v>0.35215525245789425</v>
      </c>
      <c r="I1090" s="3">
        <f>1/(1+EXP(-H1090))</f>
        <v>0.58714012427150808</v>
      </c>
      <c r="J1090" s="3">
        <f>I1090</f>
        <v>0.58714012427150808</v>
      </c>
      <c r="K1090" s="3">
        <f>AC1074</f>
        <v>0.20840889733712384</v>
      </c>
      <c r="L1090" s="3"/>
      <c r="M1090" s="3"/>
      <c r="T1090" s="3">
        <f t="shared" ref="T1090:T1096" si="214">$O$19</f>
        <v>0.2</v>
      </c>
      <c r="U1090" s="3">
        <f t="shared" ref="U1090:U1092" si="215">C1105</f>
        <v>0.19993069494602353</v>
      </c>
      <c r="V1090" s="3">
        <f>T1089*U1091+T1090*U1092</f>
        <v>0.13996870956879942</v>
      </c>
      <c r="W1090" s="3">
        <f>1/(1+EXP(-V1090))</f>
        <v>0.53493516074781478</v>
      </c>
      <c r="X1090" s="3">
        <f>W1090</f>
        <v>0.53493516074781478</v>
      </c>
      <c r="Y1090" s="3">
        <f t="shared" ref="Y1090:Y1092" si="216">G1105</f>
        <v>0.20736750528513076</v>
      </c>
      <c r="Z1090" s="3">
        <f>X1089*Y1091+X1090*Y1092</f>
        <v>0.36103039934935793</v>
      </c>
      <c r="AA1090" s="3">
        <f>1/(1+EXP(-Z1090))</f>
        <v>0.58928984178049082</v>
      </c>
      <c r="AB1090" s="3">
        <f>AA1090</f>
        <v>0.58928984178049082</v>
      </c>
      <c r="AC1090" s="3">
        <f>K1105</f>
        <v>0.20840889733712384</v>
      </c>
      <c r="AD1090" s="3"/>
      <c r="AE1090" s="3"/>
    </row>
    <row r="1091" spans="1:31" x14ac:dyDescent="0.3">
      <c r="B1091" s="3">
        <f>$B$6</f>
        <v>0.1</v>
      </c>
      <c r="C1091" s="3">
        <f t="shared" ref="C1091:C1092" si="217">U1075</f>
        <v>0.29992096571150634</v>
      </c>
      <c r="D1091" s="3"/>
      <c r="E1091" s="3"/>
      <c r="F1091" s="3"/>
      <c r="G1091" s="3">
        <f t="shared" si="213"/>
        <v>0.293144008257823</v>
      </c>
      <c r="H1091" s="3"/>
      <c r="I1091" s="3"/>
      <c r="J1091" s="3"/>
      <c r="K1091" s="3"/>
      <c r="L1091" s="3"/>
      <c r="M1091" s="3"/>
      <c r="T1091" s="3">
        <f t="shared" si="214"/>
        <v>0.2</v>
      </c>
      <c r="U1091" s="3">
        <f t="shared" si="215"/>
        <v>0.29992177392199854</v>
      </c>
      <c r="V1091" s="3"/>
      <c r="W1091" s="3"/>
      <c r="X1091" s="3"/>
      <c r="Y1091" s="3">
        <f t="shared" si="216"/>
        <v>0.29297609497250698</v>
      </c>
      <c r="Z1091" s="3"/>
      <c r="AA1091" s="3"/>
      <c r="AB1091" s="3"/>
      <c r="AC1091" s="3"/>
      <c r="AD1091" s="3"/>
      <c r="AE1091" s="3"/>
    </row>
    <row r="1092" spans="1:31" x14ac:dyDescent="0.3">
      <c r="B1092" s="3">
        <f>$B$7</f>
        <v>0.1</v>
      </c>
      <c r="C1092" s="3">
        <f t="shared" si="217"/>
        <v>0.39992096571150637</v>
      </c>
      <c r="D1092" s="3"/>
      <c r="E1092" s="3"/>
      <c r="F1092" s="3"/>
      <c r="G1092" s="3">
        <f t="shared" si="213"/>
        <v>0.39302454543596521</v>
      </c>
      <c r="H1092" s="3"/>
      <c r="I1092" s="3"/>
      <c r="J1092" s="3"/>
      <c r="K1092" s="3"/>
      <c r="L1092" s="3"/>
      <c r="M1092" s="3"/>
      <c r="T1092" s="3">
        <f t="shared" si="214"/>
        <v>0.2</v>
      </c>
      <c r="U1092" s="3">
        <f t="shared" si="215"/>
        <v>0.39992177392199857</v>
      </c>
      <c r="V1092" s="3"/>
      <c r="W1092" s="3"/>
      <c r="X1092" s="3"/>
      <c r="Y1092" s="3">
        <f t="shared" si="216"/>
        <v>0.39285332583043475</v>
      </c>
      <c r="Z1092" s="3"/>
      <c r="AA1092" s="3"/>
      <c r="AB1092" s="3"/>
      <c r="AC1092" s="3"/>
      <c r="AD1092" s="3"/>
      <c r="AE1092" s="3"/>
    </row>
    <row r="1093" spans="1:31" x14ac:dyDescent="0.3">
      <c r="B1093" s="3">
        <f>$B$8</f>
        <v>0.1</v>
      </c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T1093" s="3">
        <f t="shared" si="214"/>
        <v>0.2</v>
      </c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</row>
    <row r="1094" spans="1:31" x14ac:dyDescent="0.3">
      <c r="B1094" s="3">
        <f>$B$9</f>
        <v>0.1</v>
      </c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T1094" s="3">
        <f t="shared" si="214"/>
        <v>0.2</v>
      </c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</row>
    <row r="1095" spans="1:31" x14ac:dyDescent="0.3">
      <c r="B1095" s="3">
        <f>$B$10</f>
        <v>0.1</v>
      </c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T1095" s="3">
        <f t="shared" si="214"/>
        <v>0.2</v>
      </c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</row>
    <row r="1096" spans="1:31" x14ac:dyDescent="0.3">
      <c r="B1096" s="3">
        <f>$B$11</f>
        <v>0.1</v>
      </c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T1096" s="3">
        <f t="shared" si="214"/>
        <v>0.2</v>
      </c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</row>
    <row r="1098" spans="1:31" x14ac:dyDescent="0.3">
      <c r="A1098" s="4" t="s">
        <v>7</v>
      </c>
      <c r="B1098" s="5">
        <f>E1089 * (1 - E1089) * (G1089 * F1098 + G1091 * F1099)</f>
        <v>-3.278882642267465E-5</v>
      </c>
      <c r="C1098" s="6"/>
      <c r="D1098" s="6"/>
      <c r="E1098" s="7"/>
      <c r="F1098" s="5">
        <f>I1089 * (1 - I1089) * K1089 *J1098</f>
        <v>7.847190498939012E-3</v>
      </c>
      <c r="G1098" s="6"/>
      <c r="H1098" s="6"/>
      <c r="I1098" s="7"/>
      <c r="J1098" s="5">
        <f>$P$18 - M1089</f>
        <v>-6.5492527425924429E-2</v>
      </c>
      <c r="K1098" s="6"/>
      <c r="L1098" s="6"/>
      <c r="M1098" s="7"/>
      <c r="S1098" s="4" t="s">
        <v>7</v>
      </c>
      <c r="T1098" s="5">
        <f>W1089 * (1 - W1089) * (Y1089 * X1098 + Y1091 * X1099)</f>
        <v>1.4126517264229564E-5</v>
      </c>
      <c r="U1098" s="6"/>
      <c r="V1098" s="6"/>
      <c r="W1098" s="7"/>
      <c r="X1098" s="5">
        <f>AA1089 * (1 - AA1089) * AC1089 *AB1098</f>
        <v>-4.4932577198869353E-3</v>
      </c>
      <c r="Y1098" s="6"/>
      <c r="Z1098" s="6"/>
      <c r="AA1098" s="7"/>
      <c r="AB1098" s="5">
        <f>$P$19 - AE1089</f>
        <v>3.6446189483214042E-2</v>
      </c>
      <c r="AC1098" s="6"/>
      <c r="AD1098" s="6"/>
      <c r="AE1098" s="7"/>
    </row>
    <row r="1099" spans="1:31" x14ac:dyDescent="0.3">
      <c r="B1099" s="5">
        <f>E1090 * (1 - E1090) * (G1090 * F1098 + G1092 * F1099)</f>
        <v>8.082104921763289E-5</v>
      </c>
      <c r="C1099" s="6"/>
      <c r="D1099" s="6"/>
      <c r="E1099" s="7"/>
      <c r="F1099" s="5">
        <f>J1090 * (1 - J1090) * K1090 * J1098</f>
        <v>-3.3086623106535016E-3</v>
      </c>
      <c r="G1099" s="6"/>
      <c r="H1099" s="6"/>
      <c r="I1099" s="7"/>
      <c r="T1099" s="5">
        <f>W1090 * (1 - W1090) * (Y1090 * X1098 + Y1092 * X1099)</f>
        <v>-5.2130783428398493E-5</v>
      </c>
      <c r="U1099" s="6"/>
      <c r="V1099" s="6"/>
      <c r="W1099" s="7"/>
      <c r="X1099" s="5">
        <f>AB1090 * (1 - AB1090) * AC1090 * AB1098</f>
        <v>1.8383694056458423E-3</v>
      </c>
      <c r="Y1099" s="6"/>
      <c r="Z1099" s="6"/>
      <c r="AA1099" s="7"/>
    </row>
    <row r="1101" spans="1:31" x14ac:dyDescent="0.3">
      <c r="B1101" s="8" t="s">
        <v>4</v>
      </c>
      <c r="C1101" s="8"/>
      <c r="D1101" s="8"/>
      <c r="E1101" s="8"/>
      <c r="F1101" s="8" t="s">
        <v>5</v>
      </c>
      <c r="G1101" s="8"/>
      <c r="H1101" s="8"/>
      <c r="I1101" s="8"/>
      <c r="J1101" s="8" t="s">
        <v>6</v>
      </c>
      <c r="K1101" s="8"/>
      <c r="L1101" s="8"/>
      <c r="M1101" s="8"/>
      <c r="T1101" s="9" t="s">
        <v>4</v>
      </c>
      <c r="U1101" s="10"/>
      <c r="V1101" s="10"/>
      <c r="W1101" s="11"/>
      <c r="X1101" s="9" t="s">
        <v>5</v>
      </c>
      <c r="Y1101" s="10"/>
      <c r="Z1101" s="10"/>
      <c r="AA1101" s="11"/>
      <c r="AB1101" s="9" t="s">
        <v>6</v>
      </c>
      <c r="AC1101" s="10"/>
      <c r="AD1101" s="10"/>
      <c r="AE1101" s="11"/>
    </row>
    <row r="1102" spans="1:31" x14ac:dyDescent="0.3">
      <c r="B1102" s="8"/>
      <c r="C1102" s="8"/>
      <c r="D1102" s="8"/>
      <c r="E1102" s="8"/>
      <c r="F1102" s="8"/>
      <c r="G1102" s="8"/>
      <c r="H1102" s="8"/>
      <c r="I1102" s="8"/>
      <c r="J1102" s="8"/>
      <c r="K1102" s="8"/>
      <c r="L1102" s="8"/>
      <c r="M1102" s="8"/>
      <c r="T1102" s="12"/>
      <c r="U1102" s="13"/>
      <c r="V1102" s="13"/>
      <c r="W1102" s="14"/>
      <c r="X1102" s="12"/>
      <c r="Y1102" s="13"/>
      <c r="Z1102" s="13"/>
      <c r="AA1102" s="14"/>
      <c r="AB1102" s="12"/>
      <c r="AC1102" s="13"/>
      <c r="AD1102" s="13"/>
      <c r="AE1102" s="14"/>
    </row>
    <row r="1103" spans="1:31" x14ac:dyDescent="0.3">
      <c r="B1103" s="3" t="s">
        <v>0</v>
      </c>
      <c r="C1103" s="3" t="s">
        <v>1</v>
      </c>
      <c r="D1103" s="3" t="s">
        <v>2</v>
      </c>
      <c r="E1103" s="3" t="s">
        <v>3</v>
      </c>
      <c r="F1103" s="3" t="s">
        <v>0</v>
      </c>
      <c r="G1103" s="3" t="s">
        <v>1</v>
      </c>
      <c r="H1103" s="3" t="s">
        <v>2</v>
      </c>
      <c r="I1103" s="3" t="s">
        <v>3</v>
      </c>
      <c r="J1103" s="3" t="s">
        <v>0</v>
      </c>
      <c r="K1103" s="3" t="s">
        <v>1</v>
      </c>
      <c r="L1103" s="3" t="s">
        <v>2</v>
      </c>
      <c r="M1103" s="3" t="s">
        <v>3</v>
      </c>
      <c r="T1103" s="3">
        <f>$O$19</f>
        <v>0.2</v>
      </c>
      <c r="U1103" s="3" t="s">
        <v>1</v>
      </c>
      <c r="V1103" s="3" t="s">
        <v>2</v>
      </c>
      <c r="W1103" s="3" t="s">
        <v>3</v>
      </c>
      <c r="X1103" s="3" t="s">
        <v>0</v>
      </c>
      <c r="Y1103" s="3" t="s">
        <v>1</v>
      </c>
      <c r="Z1103" s="3" t="s">
        <v>2</v>
      </c>
      <c r="AA1103" s="3" t="s">
        <v>3</v>
      </c>
      <c r="AB1103" s="3" t="s">
        <v>0</v>
      </c>
      <c r="AC1103" s="3" t="s">
        <v>1</v>
      </c>
      <c r="AD1103" s="3" t="s">
        <v>2</v>
      </c>
      <c r="AE1103" s="3" t="s">
        <v>3</v>
      </c>
    </row>
    <row r="1104" spans="1:31" x14ac:dyDescent="0.3">
      <c r="B1104" s="3">
        <f>$B$4</f>
        <v>0.1</v>
      </c>
      <c r="C1104" s="3">
        <f>C1089 + $O$7 * B1089 * B1098</f>
        <v>9.9930694946023566E-2</v>
      </c>
      <c r="D1104" s="3">
        <f>B1104*C1104+B1105*C1105</f>
        <v>2.9986138989204714E-2</v>
      </c>
      <c r="E1104" s="3">
        <f>1/(1+EXP(-D1104))</f>
        <v>0.50749597307712646</v>
      </c>
      <c r="F1104" s="3">
        <f>E1104</f>
        <v>0.50749597307712646</v>
      </c>
      <c r="G1104" s="3">
        <f>G1089 + $O$7 * F1089 * F1098</f>
        <v>0.10728104793170813</v>
      </c>
      <c r="H1104" s="3">
        <f>F1104*G1104+F1105*G1105</f>
        <v>0.16175509262519355</v>
      </c>
      <c r="I1104" s="3">
        <f>1/(1+EXP(-H1104))</f>
        <v>0.54035083084996127</v>
      </c>
      <c r="J1104" s="3">
        <f>I1104</f>
        <v>0.54035083084996127</v>
      </c>
      <c r="K1104" s="3">
        <f>K1089 + $P$18 * J1089 * J1098</f>
        <v>-0.49655113072909857</v>
      </c>
      <c r="L1104" s="3">
        <f>J1104*K1104+J1105*K1105</f>
        <v>-0.14595537105261225</v>
      </c>
      <c r="M1104" s="3">
        <f>1/(1+EXP(-L1104))</f>
        <v>0.46357579626792639</v>
      </c>
      <c r="T1104" s="3">
        <f t="shared" ref="T1104:T1110" si="218">$O$19</f>
        <v>0.2</v>
      </c>
      <c r="U1104" s="3">
        <f>U1089 + $O$7 * T1089 * T1098</f>
        <v>9.9930977476368851E-2</v>
      </c>
      <c r="V1104" s="3">
        <f>T1104*U1104+T1105*U1105</f>
        <v>5.997239099054754E-2</v>
      </c>
      <c r="W1104" s="3">
        <f>1/(1+EXP(-V1104))</f>
        <v>0.51498860557249415</v>
      </c>
      <c r="X1104" s="3">
        <f>W1104</f>
        <v>0.51498860557249415</v>
      </c>
      <c r="Y1104" s="3">
        <f>Y1089 + $O$7 * X1089 * X1098</f>
        <v>0.1070496502916273</v>
      </c>
      <c r="Z1104" s="3">
        <f>X1104*Y1104+X1105*Y1105</f>
        <v>0.16592892131665465</v>
      </c>
      <c r="AA1104" s="3">
        <f>1/(1+EXP(-Z1104))</f>
        <v>0.54138731617164204</v>
      </c>
      <c r="AB1104" s="3">
        <f>AA1104</f>
        <v>0.54138731617164204</v>
      </c>
      <c r="AC1104" s="3">
        <f>AC1089 +  $P$19 * AB1089 * AB1098</f>
        <v>-0.48668425736907089</v>
      </c>
      <c r="AD1104" s="3">
        <f>AB1104*AC1104+AB1105*AC1105</f>
        <v>-0.14066632670486151</v>
      </c>
      <c r="AE1104" s="3">
        <f>1/(1+EXP(-AD1104))</f>
        <v>0.46489129062244183</v>
      </c>
    </row>
    <row r="1105" spans="2:31" x14ac:dyDescent="0.3">
      <c r="B1105" s="3">
        <f>$B$5</f>
        <v>0.1</v>
      </c>
      <c r="C1105" s="3">
        <f>C1090 + $O$7 * B1090 * B1098</f>
        <v>0.19993069494602353</v>
      </c>
      <c r="D1105" s="3">
        <f>B1104*C1106+B1105*C1107</f>
        <v>6.998435478439971E-2</v>
      </c>
      <c r="E1105" s="3">
        <f>1/(1+EXP(-D1105))</f>
        <v>0.51748895114885762</v>
      </c>
      <c r="F1105" s="3">
        <f>E1105</f>
        <v>0.51748895114885762</v>
      </c>
      <c r="G1105" s="3">
        <f>G1090 + $O$7 * F1090 * F1098</f>
        <v>0.20736750528513076</v>
      </c>
      <c r="H1105" s="3">
        <f>F1104*G1106+F1105*G1107</f>
        <v>0.35198144394574116</v>
      </c>
      <c r="I1105" s="3">
        <f>1/(1+EXP(-H1105))</f>
        <v>0.5870979913032176</v>
      </c>
      <c r="J1105" s="3">
        <f>I1105</f>
        <v>0.5870979913032176</v>
      </c>
      <c r="K1105" s="3">
        <f>K1090 + $P$18 * J1090 * J1099</f>
        <v>0.20840889733712384</v>
      </c>
      <c r="L1105" s="3"/>
      <c r="M1105" s="3"/>
      <c r="T1105" s="3">
        <f t="shared" si="218"/>
        <v>0.2</v>
      </c>
      <c r="U1105" s="3">
        <f>U1090 + $O$7 * T1090 * T1098</f>
        <v>0.19993097747636882</v>
      </c>
      <c r="V1105" s="3">
        <f>T1104*U1106+T1105*U1107</f>
        <v>0.13996829252253201</v>
      </c>
      <c r="W1105" s="3">
        <f>1/(1+EXP(-V1105))</f>
        <v>0.53493505699523702</v>
      </c>
      <c r="X1105" s="3">
        <f>W1105</f>
        <v>0.53493505699523702</v>
      </c>
      <c r="Y1105" s="3">
        <f>Y1090 + $O$7 * X1090 * X1098</f>
        <v>0.20712714513106384</v>
      </c>
      <c r="Z1105" s="3">
        <f>X1104*Y1106+X1105*Y1107</f>
        <v>0.36113172881683614</v>
      </c>
      <c r="AA1105" s="3">
        <f>1/(1+EXP(-Z1105))</f>
        <v>0.58931436605845355</v>
      </c>
      <c r="AB1105" s="3">
        <f>AA1105</f>
        <v>0.58931436605845355</v>
      </c>
      <c r="AC1105" s="3">
        <f>AC1090 +  $P$19 * AB1090 * AB1099</f>
        <v>0.20840889733712384</v>
      </c>
      <c r="AD1105" s="3"/>
      <c r="AE1105" s="3"/>
    </row>
    <row r="1106" spans="2:31" x14ac:dyDescent="0.3">
      <c r="B1106" s="3">
        <f>$B$6</f>
        <v>0.1</v>
      </c>
      <c r="C1106" s="3">
        <f>C1091 + $O$7 * B1089 * B1099</f>
        <v>0.29992177392199854</v>
      </c>
      <c r="D1106" s="3"/>
      <c r="E1106" s="3"/>
      <c r="F1106" s="3"/>
      <c r="G1106" s="3">
        <f>G1091 + $O$7 * F1089 * F1099</f>
        <v>0.29297609497250698</v>
      </c>
      <c r="H1106" s="3"/>
      <c r="I1106" s="3"/>
      <c r="J1106" s="3"/>
      <c r="K1106" s="3"/>
      <c r="L1106" s="3"/>
      <c r="M1106" s="3"/>
      <c r="T1106" s="3">
        <f t="shared" si="218"/>
        <v>0.2</v>
      </c>
      <c r="U1106" s="3">
        <f>U1091 + $O$7 * T1089 * T1099</f>
        <v>0.29992073130632996</v>
      </c>
      <c r="V1106" s="3"/>
      <c r="W1106" s="3"/>
      <c r="X1106" s="3"/>
      <c r="Y1106" s="3">
        <f>Y1091 + $O$7 * X1089 * X1099</f>
        <v>0.2930707688969918</v>
      </c>
      <c r="Z1106" s="3"/>
      <c r="AA1106" s="3"/>
      <c r="AB1106" s="3"/>
      <c r="AC1106" s="3"/>
      <c r="AD1106" s="3"/>
      <c r="AE1106" s="3"/>
    </row>
    <row r="1107" spans="2:31" x14ac:dyDescent="0.3">
      <c r="B1107" s="3">
        <f>$B$7</f>
        <v>0.1</v>
      </c>
      <c r="C1107" s="3">
        <f>C1092 + $O$7 * B1090* B1099</f>
        <v>0.39992177392199857</v>
      </c>
      <c r="D1107" s="3"/>
      <c r="E1107" s="3"/>
      <c r="F1107" s="3"/>
      <c r="G1107" s="3">
        <f>G1092 + $O$7 * F1090* F1099</f>
        <v>0.39285332583043475</v>
      </c>
      <c r="H1107" s="3"/>
      <c r="I1107" s="3"/>
      <c r="J1107" s="3"/>
      <c r="K1107" s="3"/>
      <c r="L1107" s="3"/>
      <c r="M1107" s="3"/>
      <c r="T1107" s="3">
        <f t="shared" si="218"/>
        <v>0.2</v>
      </c>
      <c r="U1107" s="3">
        <f>U1092 + $O$7 * T1090* T1099</f>
        <v>0.39992073130632999</v>
      </c>
      <c r="V1107" s="3"/>
      <c r="W1107" s="3"/>
      <c r="X1107" s="3"/>
      <c r="Y1107" s="3">
        <f>Y1092 + $O$7 * X1090* X1099</f>
        <v>0.39295166667378706</v>
      </c>
      <c r="Z1107" s="3"/>
      <c r="AA1107" s="3"/>
      <c r="AB1107" s="3"/>
      <c r="AC1107" s="3"/>
      <c r="AD1107" s="3"/>
      <c r="AE1107" s="3"/>
    </row>
    <row r="1108" spans="2:31" x14ac:dyDescent="0.3">
      <c r="B1108" s="3">
        <f>$B$8</f>
        <v>0.1</v>
      </c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T1108" s="3">
        <f t="shared" si="218"/>
        <v>0.2</v>
      </c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</row>
    <row r="1109" spans="2:31" x14ac:dyDescent="0.3">
      <c r="B1109" s="3">
        <f>$B$9</f>
        <v>0.1</v>
      </c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T1109" s="3">
        <f t="shared" si="218"/>
        <v>0.2</v>
      </c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</row>
    <row r="1110" spans="2:31" x14ac:dyDescent="0.3">
      <c r="B1110" s="3">
        <f>$B$10</f>
        <v>0.1</v>
      </c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T1110" s="3">
        <f t="shared" si="218"/>
        <v>0.2</v>
      </c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</row>
    <row r="1111" spans="2:31" x14ac:dyDescent="0.3">
      <c r="B1111" s="3">
        <f>$B$11</f>
        <v>0.1</v>
      </c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T1111" s="3">
        <f>$B$11</f>
        <v>0.1</v>
      </c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</row>
    <row r="1117" spans="2:31" x14ac:dyDescent="0.3">
      <c r="B1117" s="8" t="s">
        <v>4</v>
      </c>
      <c r="C1117" s="8"/>
      <c r="D1117" s="8"/>
      <c r="E1117" s="8"/>
      <c r="F1117" s="8" t="s">
        <v>5</v>
      </c>
      <c r="G1117" s="8"/>
      <c r="H1117" s="8"/>
      <c r="I1117" s="8"/>
      <c r="J1117" s="8" t="s">
        <v>6</v>
      </c>
      <c r="K1117" s="8"/>
      <c r="L1117" s="8"/>
      <c r="M1117" s="8"/>
      <c r="T1117" s="9" t="s">
        <v>4</v>
      </c>
      <c r="U1117" s="10"/>
      <c r="V1117" s="10"/>
      <c r="W1117" s="11"/>
      <c r="X1117" s="9" t="s">
        <v>5</v>
      </c>
      <c r="Y1117" s="10"/>
      <c r="Z1117" s="10"/>
      <c r="AA1117" s="11"/>
      <c r="AB1117" s="9" t="s">
        <v>6</v>
      </c>
      <c r="AC1117" s="10"/>
      <c r="AD1117" s="10"/>
      <c r="AE1117" s="11"/>
    </row>
    <row r="1118" spans="2:31" x14ac:dyDescent="0.3">
      <c r="B1118" s="8"/>
      <c r="C1118" s="8"/>
      <c r="D1118" s="8"/>
      <c r="E1118" s="8"/>
      <c r="F1118" s="8"/>
      <c r="G1118" s="8"/>
      <c r="H1118" s="8"/>
      <c r="I1118" s="8"/>
      <c r="J1118" s="8"/>
      <c r="K1118" s="8"/>
      <c r="L1118" s="8"/>
      <c r="M1118" s="8"/>
      <c r="T1118" s="12"/>
      <c r="U1118" s="13"/>
      <c r="V1118" s="13"/>
      <c r="W1118" s="14"/>
      <c r="X1118" s="12"/>
      <c r="Y1118" s="13"/>
      <c r="Z1118" s="13"/>
      <c r="AA1118" s="14"/>
      <c r="AB1118" s="12"/>
      <c r="AC1118" s="13"/>
      <c r="AD1118" s="13"/>
      <c r="AE1118" s="14"/>
    </row>
    <row r="1119" spans="2:31" x14ac:dyDescent="0.3">
      <c r="B1119" s="3" t="s">
        <v>0</v>
      </c>
      <c r="C1119" s="3" t="s">
        <v>1</v>
      </c>
      <c r="D1119" s="3" t="s">
        <v>2</v>
      </c>
      <c r="E1119" s="3" t="s">
        <v>3</v>
      </c>
      <c r="F1119" s="3" t="s">
        <v>0</v>
      </c>
      <c r="G1119" s="3" t="s">
        <v>1</v>
      </c>
      <c r="H1119" s="3" t="s">
        <v>2</v>
      </c>
      <c r="I1119" s="3" t="s">
        <v>3</v>
      </c>
      <c r="J1119" s="3" t="s">
        <v>0</v>
      </c>
      <c r="K1119" s="3" t="s">
        <v>1</v>
      </c>
      <c r="L1119" s="3" t="s">
        <v>2</v>
      </c>
      <c r="M1119" s="3" t="s">
        <v>3</v>
      </c>
      <c r="T1119" s="3" t="s">
        <v>0</v>
      </c>
      <c r="U1119" s="3" t="s">
        <v>1</v>
      </c>
      <c r="V1119" s="3" t="s">
        <v>2</v>
      </c>
      <c r="W1119" s="3" t="s">
        <v>3</v>
      </c>
      <c r="X1119" s="3" t="s">
        <v>0</v>
      </c>
      <c r="Y1119" s="3" t="s">
        <v>1</v>
      </c>
      <c r="Z1119" s="3" t="s">
        <v>2</v>
      </c>
      <c r="AA1119" s="3" t="s">
        <v>3</v>
      </c>
      <c r="AB1119" s="3" t="s">
        <v>0</v>
      </c>
      <c r="AC1119" s="3" t="s">
        <v>1</v>
      </c>
      <c r="AD1119" s="3" t="s">
        <v>2</v>
      </c>
      <c r="AE1119" s="3" t="s">
        <v>3</v>
      </c>
    </row>
    <row r="1120" spans="2:31" x14ac:dyDescent="0.3">
      <c r="B1120" s="3">
        <f>$B$4</f>
        <v>0.1</v>
      </c>
      <c r="C1120" s="3">
        <f>U1104</f>
        <v>9.9930977476368851E-2</v>
      </c>
      <c r="D1120" s="3">
        <f>B1120*C1120+B1121*C1121</f>
        <v>2.998619549527377E-2</v>
      </c>
      <c r="E1120" s="3">
        <f>1/(1+EXP(-D1120))</f>
        <v>0.50749598720046862</v>
      </c>
      <c r="F1120" s="3">
        <f>E1120</f>
        <v>0.50749598720046862</v>
      </c>
      <c r="G1120" s="3">
        <f>Y1104</f>
        <v>0.1070496502916273</v>
      </c>
      <c r="H1120" s="3">
        <f>F1120*G1120+F1121*G1121</f>
        <v>0.16151326625805587</v>
      </c>
      <c r="I1120" s="3">
        <f>1/(1+EXP(-H1120))</f>
        <v>0.54029076741154081</v>
      </c>
      <c r="J1120" s="3">
        <f>I1120</f>
        <v>0.54029076741154081</v>
      </c>
      <c r="K1120" s="3">
        <f>AC1104</f>
        <v>-0.48668425736907089</v>
      </c>
      <c r="L1120" s="3">
        <f>J1120*K1120+J1121*K1121</f>
        <v>-0.14058956835744507</v>
      </c>
      <c r="M1120" s="3">
        <f>1/(1+EXP(-L1120))</f>
        <v>0.46491038564675813</v>
      </c>
      <c r="T1120" s="3">
        <f>$O$19</f>
        <v>0.2</v>
      </c>
      <c r="U1120" s="3">
        <f>C1135</f>
        <v>9.9930674775018824E-2</v>
      </c>
      <c r="V1120" s="3">
        <f>T1120*U1120+T1121*U1121</f>
        <v>5.9972269910007522E-2</v>
      </c>
      <c r="W1120" s="3">
        <f>1/(1+EXP(-V1120))</f>
        <v>0.51498857532956088</v>
      </c>
      <c r="X1120" s="3">
        <f>W1120</f>
        <v>0.51498857532956088</v>
      </c>
      <c r="Y1120" s="3">
        <f>G1135</f>
        <v>0.1074478536080998</v>
      </c>
      <c r="Z1120" s="3">
        <f>X1120*Y1120+X1121*Y1121</f>
        <v>0.16635121286609456</v>
      </c>
      <c r="AA1120" s="3">
        <f>1/(1+EXP(-Z1120))</f>
        <v>0.54149216387757404</v>
      </c>
      <c r="AB1120" s="3">
        <f>AA1120</f>
        <v>0.54149216387757404</v>
      </c>
      <c r="AC1120" s="3">
        <f>K1135</f>
        <v>-0.50071245019869726</v>
      </c>
      <c r="AD1120" s="3">
        <f>AB1120*AC1120+AB1121*AC1121</f>
        <v>-0.1483224116766711</v>
      </c>
      <c r="AE1120" s="3">
        <f>1/(1+EXP(-AD1120))</f>
        <v>0.46298722753801658</v>
      </c>
    </row>
    <row r="1121" spans="1:31" x14ac:dyDescent="0.3">
      <c r="B1121" s="3">
        <f>$B$5</f>
        <v>0.1</v>
      </c>
      <c r="C1121" s="3">
        <f>U1105</f>
        <v>0.19993097747636882</v>
      </c>
      <c r="D1121" s="3">
        <f>B1120*C1122+B1121*C1123</f>
        <v>6.9984146261266006E-2</v>
      </c>
      <c r="E1121" s="3">
        <f>1/(1+EXP(-D1121))</f>
        <v>0.51748889908185358</v>
      </c>
      <c r="F1121" s="3">
        <f>E1121</f>
        <v>0.51748889908185358</v>
      </c>
      <c r="G1121" s="3">
        <f t="shared" ref="G1121:G1123" si="219">Y1105</f>
        <v>0.20712714513106384</v>
      </c>
      <c r="H1121" s="3">
        <f>F1120*G1122+F1121*G1123</f>
        <v>0.35208036456037684</v>
      </c>
      <c r="I1121" s="3">
        <f>1/(1+EXP(-H1121))</f>
        <v>0.58712197083252782</v>
      </c>
      <c r="J1121" s="3">
        <f>I1121</f>
        <v>0.58712197083252782</v>
      </c>
      <c r="K1121" s="3">
        <f>AC1105</f>
        <v>0.20840889733712384</v>
      </c>
      <c r="L1121" s="3"/>
      <c r="M1121" s="3"/>
      <c r="T1121" s="3">
        <f t="shared" ref="T1121:T1127" si="220">$O$19</f>
        <v>0.2</v>
      </c>
      <c r="U1121" s="3">
        <f t="shared" ref="U1121:U1123" si="221">C1136</f>
        <v>0.19993067477501877</v>
      </c>
      <c r="V1121" s="3">
        <f>T1120*U1122+T1121*U1123</f>
        <v>0.1399686287153164</v>
      </c>
      <c r="W1121" s="3">
        <f>1/(1+EXP(-V1121))</f>
        <v>0.53493514063312286</v>
      </c>
      <c r="X1121" s="3">
        <f>W1121</f>
        <v>0.53493514063312286</v>
      </c>
      <c r="Y1121" s="3">
        <f t="shared" ref="Y1121:Y1123" si="222">G1136</f>
        <v>0.20753318931870132</v>
      </c>
      <c r="Z1121" s="3">
        <f>X1120*Y1122+X1121*Y1123</f>
        <v>0.3609552684712935</v>
      </c>
      <c r="AA1121" s="3">
        <f>1/(1+EXP(-Z1121))</f>
        <v>0.58927165793313518</v>
      </c>
      <c r="AB1121" s="3">
        <f>AA1121</f>
        <v>0.58927165793313518</v>
      </c>
      <c r="AC1121" s="3">
        <f>K1136</f>
        <v>0.20840889733712384</v>
      </c>
      <c r="AD1121" s="3"/>
      <c r="AE1121" s="3"/>
    </row>
    <row r="1122" spans="1:31" x14ac:dyDescent="0.3">
      <c r="B1122" s="3">
        <f>$B$6</f>
        <v>0.1</v>
      </c>
      <c r="C1122" s="3">
        <f t="shared" ref="C1122:C1123" si="223">U1106</f>
        <v>0.29992073130632996</v>
      </c>
      <c r="D1122" s="3"/>
      <c r="E1122" s="3"/>
      <c r="F1122" s="3"/>
      <c r="G1122" s="3">
        <f t="shared" si="219"/>
        <v>0.2930707688969918</v>
      </c>
      <c r="H1122" s="3"/>
      <c r="I1122" s="3"/>
      <c r="J1122" s="3"/>
      <c r="K1122" s="3"/>
      <c r="L1122" s="3"/>
      <c r="M1122" s="3"/>
      <c r="T1122" s="3">
        <f t="shared" si="220"/>
        <v>0.2</v>
      </c>
      <c r="U1122" s="3">
        <f t="shared" si="221"/>
        <v>0.29992157178829093</v>
      </c>
      <c r="V1122" s="3"/>
      <c r="W1122" s="3"/>
      <c r="X1122" s="3"/>
      <c r="Y1122" s="3">
        <f t="shared" si="222"/>
        <v>0.2929043459671844</v>
      </c>
      <c r="Z1122" s="3"/>
      <c r="AA1122" s="3"/>
      <c r="AB1122" s="3"/>
      <c r="AC1122" s="3"/>
      <c r="AD1122" s="3"/>
      <c r="AE1122" s="3"/>
    </row>
    <row r="1123" spans="1:31" x14ac:dyDescent="0.3">
      <c r="B1123" s="3">
        <f>$B$7</f>
        <v>0.1</v>
      </c>
      <c r="C1123" s="3">
        <f t="shared" si="223"/>
        <v>0.39992073130632999</v>
      </c>
      <c r="D1123" s="3"/>
      <c r="E1123" s="3"/>
      <c r="F1123" s="3"/>
      <c r="G1123" s="3">
        <f t="shared" si="219"/>
        <v>0.39295166667378706</v>
      </c>
      <c r="H1123" s="3"/>
      <c r="I1123" s="3"/>
      <c r="J1123" s="3"/>
      <c r="K1123" s="3"/>
      <c r="L1123" s="3"/>
      <c r="M1123" s="3"/>
      <c r="T1123" s="3">
        <f t="shared" si="220"/>
        <v>0.2</v>
      </c>
      <c r="U1123" s="3">
        <f t="shared" si="221"/>
        <v>0.39992157178829096</v>
      </c>
      <c r="V1123" s="3"/>
      <c r="W1123" s="3"/>
      <c r="X1123" s="3"/>
      <c r="Y1123" s="3">
        <f t="shared" si="222"/>
        <v>0.392781966772901</v>
      </c>
      <c r="Z1123" s="3"/>
      <c r="AA1123" s="3"/>
      <c r="AB1123" s="3"/>
      <c r="AC1123" s="3"/>
      <c r="AD1123" s="3"/>
      <c r="AE1123" s="3"/>
    </row>
    <row r="1124" spans="1:31" x14ac:dyDescent="0.3">
      <c r="B1124" s="3">
        <f>$B$8</f>
        <v>0.1</v>
      </c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T1124" s="3">
        <f t="shared" si="220"/>
        <v>0.2</v>
      </c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</row>
    <row r="1125" spans="1:31" x14ac:dyDescent="0.3">
      <c r="B1125" s="3">
        <f>$B$9</f>
        <v>0.1</v>
      </c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T1125" s="3">
        <f t="shared" si="220"/>
        <v>0.2</v>
      </c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</row>
    <row r="1126" spans="1:31" x14ac:dyDescent="0.3">
      <c r="B1126" s="3">
        <f>$B$10</f>
        <v>0.1</v>
      </c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T1126" s="3">
        <f t="shared" si="220"/>
        <v>0.2</v>
      </c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</row>
    <row r="1127" spans="1:31" x14ac:dyDescent="0.3">
      <c r="B1127" s="3">
        <f>$B$11</f>
        <v>0.1</v>
      </c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T1127" s="3">
        <f t="shared" si="220"/>
        <v>0.2</v>
      </c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</row>
    <row r="1129" spans="1:31" x14ac:dyDescent="0.3">
      <c r="A1129" s="4" t="s">
        <v>7</v>
      </c>
      <c r="B1129" s="5">
        <f>E1120 * (1 - E1120) * (G1120 * F1129 + G1122 * F1130)</f>
        <v>-3.027013500338375E-5</v>
      </c>
      <c r="C1129" s="6"/>
      <c r="D1129" s="6"/>
      <c r="E1129" s="7"/>
      <c r="F1129" s="5">
        <f>I1120 * (1 - I1120) * K1120 *J1129</f>
        <v>7.8464328096292772E-3</v>
      </c>
      <c r="G1129" s="6"/>
      <c r="H1129" s="6"/>
      <c r="I1129" s="7"/>
      <c r="J1129" s="5">
        <f>$P$18 - M1120</f>
        <v>-6.4910385646758106E-2</v>
      </c>
      <c r="K1129" s="6"/>
      <c r="L1129" s="6"/>
      <c r="M1129" s="7"/>
      <c r="S1129" s="4" t="s">
        <v>7</v>
      </c>
      <c r="T1129" s="5">
        <f>W1120 * (1 - W1120) * (Y1120 * X1129 + Y1122 * X1130)</f>
        <v>1.3099867379935691E-5</v>
      </c>
      <c r="U1129" s="6"/>
      <c r="V1129" s="6"/>
      <c r="W1129" s="7"/>
      <c r="X1129" s="5">
        <f>AA1120 * (1 - AA1120) * AC1120 *AB1129</f>
        <v>-4.6012830105535843E-3</v>
      </c>
      <c r="Y1129" s="6"/>
      <c r="Z1129" s="6"/>
      <c r="AA1129" s="7"/>
      <c r="AB1129" s="5">
        <f>$P$19 - AE1120</f>
        <v>3.7012772461983423E-2</v>
      </c>
      <c r="AC1129" s="6"/>
      <c r="AD1129" s="6"/>
      <c r="AE1129" s="7"/>
    </row>
    <row r="1130" spans="1:31" x14ac:dyDescent="0.3">
      <c r="B1130" s="5">
        <f>E1121 * (1 - E1121) * (G1121 * F1129 + G1123 * F1130)</f>
        <v>8.4048196097134101E-5</v>
      </c>
      <c r="C1130" s="6"/>
      <c r="D1130" s="6"/>
      <c r="E1130" s="7"/>
      <c r="F1130" s="5">
        <f>J1121 * (1 - J1121) * K1121 * J1129</f>
        <v>-3.2792954822248046E-3</v>
      </c>
      <c r="G1130" s="6"/>
      <c r="H1130" s="6"/>
      <c r="I1130" s="7"/>
      <c r="T1130" s="5">
        <f>W1121 * (1 - W1121) * (Y1121 * X1129 + Y1123 * X1130)</f>
        <v>-5.5130915315129865E-5</v>
      </c>
      <c r="U1130" s="6"/>
      <c r="V1130" s="6"/>
      <c r="W1130" s="7"/>
      <c r="X1130" s="5">
        <f>AB1121 * (1 - AB1121) * AC1121 * AB1129</f>
        <v>1.8669732642792572E-3</v>
      </c>
      <c r="Y1130" s="6"/>
      <c r="Z1130" s="6"/>
      <c r="AA1130" s="7"/>
    </row>
    <row r="1132" spans="1:31" x14ac:dyDescent="0.3">
      <c r="B1132" s="8" t="s">
        <v>4</v>
      </c>
      <c r="C1132" s="8"/>
      <c r="D1132" s="8"/>
      <c r="E1132" s="8"/>
      <c r="F1132" s="8" t="s">
        <v>5</v>
      </c>
      <c r="G1132" s="8"/>
      <c r="H1132" s="8"/>
      <c r="I1132" s="8"/>
      <c r="J1132" s="8" t="s">
        <v>6</v>
      </c>
      <c r="K1132" s="8"/>
      <c r="L1132" s="8"/>
      <c r="M1132" s="8"/>
      <c r="T1132" s="9" t="s">
        <v>4</v>
      </c>
      <c r="U1132" s="10"/>
      <c r="V1132" s="10"/>
      <c r="W1132" s="11"/>
      <c r="X1132" s="9" t="s">
        <v>5</v>
      </c>
      <c r="Y1132" s="10"/>
      <c r="Z1132" s="10"/>
      <c r="AA1132" s="11"/>
      <c r="AB1132" s="9" t="s">
        <v>6</v>
      </c>
      <c r="AC1132" s="10"/>
      <c r="AD1132" s="10"/>
      <c r="AE1132" s="11"/>
    </row>
    <row r="1133" spans="1:31" x14ac:dyDescent="0.3">
      <c r="B1133" s="8"/>
      <c r="C1133" s="8"/>
      <c r="D1133" s="8"/>
      <c r="E1133" s="8"/>
      <c r="F1133" s="8"/>
      <c r="G1133" s="8"/>
      <c r="H1133" s="8"/>
      <c r="I1133" s="8"/>
      <c r="J1133" s="8"/>
      <c r="K1133" s="8"/>
      <c r="L1133" s="8"/>
      <c r="M1133" s="8"/>
      <c r="T1133" s="12"/>
      <c r="U1133" s="13"/>
      <c r="V1133" s="13"/>
      <c r="W1133" s="14"/>
      <c r="X1133" s="12"/>
      <c r="Y1133" s="13"/>
      <c r="Z1133" s="13"/>
      <c r="AA1133" s="14"/>
      <c r="AB1133" s="12"/>
      <c r="AC1133" s="13"/>
      <c r="AD1133" s="13"/>
      <c r="AE1133" s="14"/>
    </row>
    <row r="1134" spans="1:31" x14ac:dyDescent="0.3">
      <c r="B1134" s="3" t="s">
        <v>0</v>
      </c>
      <c r="C1134" s="3" t="s">
        <v>1</v>
      </c>
      <c r="D1134" s="3" t="s">
        <v>2</v>
      </c>
      <c r="E1134" s="3" t="s">
        <v>3</v>
      </c>
      <c r="F1134" s="3" t="s">
        <v>0</v>
      </c>
      <c r="G1134" s="3" t="s">
        <v>1</v>
      </c>
      <c r="H1134" s="3" t="s">
        <v>2</v>
      </c>
      <c r="I1134" s="3" t="s">
        <v>3</v>
      </c>
      <c r="J1134" s="3" t="s">
        <v>0</v>
      </c>
      <c r="K1134" s="3" t="s">
        <v>1</v>
      </c>
      <c r="L1134" s="3" t="s">
        <v>2</v>
      </c>
      <c r="M1134" s="3" t="s">
        <v>3</v>
      </c>
      <c r="T1134" s="3">
        <f>$O$19</f>
        <v>0.2</v>
      </c>
      <c r="U1134" s="3" t="s">
        <v>1</v>
      </c>
      <c r="V1134" s="3" t="s">
        <v>2</v>
      </c>
      <c r="W1134" s="3" t="s">
        <v>3</v>
      </c>
      <c r="X1134" s="3" t="s">
        <v>0</v>
      </c>
      <c r="Y1134" s="3" t="s">
        <v>1</v>
      </c>
      <c r="Z1134" s="3" t="s">
        <v>2</v>
      </c>
      <c r="AA1134" s="3" t="s">
        <v>3</v>
      </c>
      <c r="AB1134" s="3" t="s">
        <v>0</v>
      </c>
      <c r="AC1134" s="3" t="s">
        <v>1</v>
      </c>
      <c r="AD1134" s="3" t="s">
        <v>2</v>
      </c>
      <c r="AE1134" s="3" t="s">
        <v>3</v>
      </c>
    </row>
    <row r="1135" spans="1:31" x14ac:dyDescent="0.3">
      <c r="B1135" s="3">
        <f>$B$4</f>
        <v>0.1</v>
      </c>
      <c r="C1135" s="3">
        <f>C1120 + $O$7 * B1120 * B1129</f>
        <v>9.9930674775018824E-2</v>
      </c>
      <c r="D1135" s="3">
        <f>B1135*C1135+B1136*C1136</f>
        <v>2.9986134955003761E-2</v>
      </c>
      <c r="E1135" s="3">
        <f>1/(1+EXP(-D1135))</f>
        <v>0.50749597206880281</v>
      </c>
      <c r="F1135" s="3">
        <f>E1135</f>
        <v>0.50749597206880281</v>
      </c>
      <c r="G1135" s="3">
        <f>G1120 + $O$7 * F1120 * F1129</f>
        <v>0.1074478536080998</v>
      </c>
      <c r="H1135" s="3">
        <f>F1135*G1135+F1136*G1136</f>
        <v>0.16192548328775461</v>
      </c>
      <c r="I1135" s="3">
        <f>1/(1+EXP(-H1135))</f>
        <v>0.54039315079623618</v>
      </c>
      <c r="J1135" s="3">
        <f>I1135</f>
        <v>0.54039315079623618</v>
      </c>
      <c r="K1135" s="3">
        <f>K1120 + $P$18 * J1120 * J1129</f>
        <v>-0.50071245019869726</v>
      </c>
      <c r="L1135" s="3">
        <f>J1135*K1135+J1136*K1136</f>
        <v>-0.14822883906742926</v>
      </c>
      <c r="M1135" s="3">
        <f>1/(1+EXP(-L1135))</f>
        <v>0.46301049258152721</v>
      </c>
      <c r="T1135" s="3">
        <f t="shared" ref="T1135:T1141" si="224">$O$19</f>
        <v>0.2</v>
      </c>
      <c r="U1135" s="3">
        <f>U1120 + $O$7 * T1120 * T1129</f>
        <v>9.9930936772366419E-2</v>
      </c>
      <c r="V1135" s="3">
        <f>T1135*U1135+T1136*U1136</f>
        <v>5.9972374708946563E-2</v>
      </c>
      <c r="W1135" s="3">
        <f>1/(1+EXP(-V1135))</f>
        <v>0.51498860150575165</v>
      </c>
      <c r="X1135" s="3">
        <f>W1135</f>
        <v>0.51498860150575165</v>
      </c>
      <c r="Y1135" s="3">
        <f>Y1120 + $O$7 * X1120 * X1129</f>
        <v>0.10721089278987049</v>
      </c>
      <c r="Z1135" s="3">
        <f>X1135*Y1135+X1136*Y1136</f>
        <v>0.16609749252178665</v>
      </c>
      <c r="AA1135" s="3">
        <f>1/(1+EXP(-Z1135))</f>
        <v>0.54142916993353152</v>
      </c>
      <c r="AB1135" s="3">
        <f>AA1135</f>
        <v>0.54142916993353152</v>
      </c>
      <c r="AC1135" s="3">
        <f>AC1120 +  $P$19 * AB1120 * AB1129</f>
        <v>-0.49069138707292342</v>
      </c>
      <c r="AD1135" s="3">
        <f>AB1135*AC1135+AB1136*AC1136</f>
        <v>-0.14285998338590067</v>
      </c>
      <c r="AE1135" s="3">
        <f>1/(1+EXP(-AD1135))</f>
        <v>0.46434562264474594</v>
      </c>
    </row>
    <row r="1136" spans="1:31" x14ac:dyDescent="0.3">
      <c r="B1136" s="3">
        <f>$B$5</f>
        <v>0.1</v>
      </c>
      <c r="C1136" s="3">
        <f>C1121 + $O$7 * B1121 * B1129</f>
        <v>0.19993067477501877</v>
      </c>
      <c r="D1136" s="3">
        <f>B1135*C1137+B1136*C1138</f>
        <v>6.9984314357658201E-2</v>
      </c>
      <c r="E1136" s="3">
        <f>1/(1+EXP(-D1136))</f>
        <v>0.51748894105453735</v>
      </c>
      <c r="F1136" s="3">
        <f>E1136</f>
        <v>0.51748894105453735</v>
      </c>
      <c r="G1136" s="3">
        <f>G1121 + $O$7 * F1121 * F1129</f>
        <v>0.20753318931870132</v>
      </c>
      <c r="H1136" s="3">
        <f>F1135*G1137+F1136*G1138</f>
        <v>0.35190809983042015</v>
      </c>
      <c r="I1136" s="3">
        <f>1/(1+EXP(-H1136))</f>
        <v>0.58708021155368206</v>
      </c>
      <c r="J1136" s="3">
        <f>I1136</f>
        <v>0.58708021155368206</v>
      </c>
      <c r="K1136" s="3">
        <f>K1121 + $P$18 * J1121 * J1130</f>
        <v>0.20840889733712384</v>
      </c>
      <c r="L1136" s="3"/>
      <c r="M1136" s="3"/>
      <c r="T1136" s="3">
        <f t="shared" si="224"/>
        <v>0.2</v>
      </c>
      <c r="U1136" s="3">
        <f>U1121 + $O$7 * T1121 * T1129</f>
        <v>0.19993093677236637</v>
      </c>
      <c r="V1136" s="3">
        <f>T1135*U1137+T1136*U1138</f>
        <v>0.13996818766799385</v>
      </c>
      <c r="W1136" s="3">
        <f>1/(1+EXP(-V1136))</f>
        <v>0.53493503090957295</v>
      </c>
      <c r="X1136" s="3">
        <f>W1136</f>
        <v>0.53493503090957295</v>
      </c>
      <c r="Y1136" s="3">
        <f>Y1121 + $O$7 * X1121 * X1129</f>
        <v>0.207287050521267</v>
      </c>
      <c r="Z1136" s="3">
        <f>X1135*Y1137+X1136*Y1138</f>
        <v>0.3610581721203594</v>
      </c>
      <c r="AA1136" s="3">
        <f>1/(1+EXP(-Z1136))</f>
        <v>0.58929656353327153</v>
      </c>
      <c r="AB1136" s="3">
        <f>AA1136</f>
        <v>0.58929656353327153</v>
      </c>
      <c r="AC1136" s="3">
        <f>AC1121 +  $P$19 * AB1121 * AB1130</f>
        <v>0.20840889733712384</v>
      </c>
      <c r="AD1136" s="3"/>
      <c r="AE1136" s="3"/>
    </row>
    <row r="1137" spans="2:31" x14ac:dyDescent="0.3">
      <c r="B1137" s="3">
        <f>$B$6</f>
        <v>0.1</v>
      </c>
      <c r="C1137" s="3">
        <f>C1122 + $O$7 * B1120 * B1130</f>
        <v>0.29992157178829093</v>
      </c>
      <c r="D1137" s="3"/>
      <c r="E1137" s="3"/>
      <c r="F1137" s="3"/>
      <c r="G1137" s="3">
        <f>G1122 + $O$7 * F1120 * F1130</f>
        <v>0.2929043459671844</v>
      </c>
      <c r="H1137" s="3"/>
      <c r="I1137" s="3"/>
      <c r="J1137" s="3"/>
      <c r="K1137" s="3"/>
      <c r="L1137" s="3"/>
      <c r="M1137" s="3"/>
      <c r="T1137" s="3">
        <f t="shared" si="224"/>
        <v>0.2</v>
      </c>
      <c r="U1137" s="3">
        <f>U1122 + $O$7 * T1120 * T1130</f>
        <v>0.2999204691699846</v>
      </c>
      <c r="V1137" s="3"/>
      <c r="W1137" s="3"/>
      <c r="X1137" s="3"/>
      <c r="Y1137" s="3">
        <f>Y1122 + $O$7 * X1120 * X1130</f>
        <v>0.29300049295733938</v>
      </c>
      <c r="Z1137" s="3"/>
      <c r="AA1137" s="3"/>
      <c r="AB1137" s="3"/>
      <c r="AC1137" s="3"/>
      <c r="AD1137" s="3"/>
      <c r="AE1137" s="3"/>
    </row>
    <row r="1138" spans="2:31" x14ac:dyDescent="0.3">
      <c r="B1138" s="3">
        <f>$B$7</f>
        <v>0.1</v>
      </c>
      <c r="C1138" s="3">
        <f>C1123 + $O$7 * B1121* B1130</f>
        <v>0.39992157178829096</v>
      </c>
      <c r="D1138" s="3"/>
      <c r="E1138" s="3"/>
      <c r="F1138" s="3"/>
      <c r="G1138" s="3">
        <f>G1123 + $O$7 * F1121* F1130</f>
        <v>0.392781966772901</v>
      </c>
      <c r="H1138" s="3"/>
      <c r="I1138" s="3"/>
      <c r="J1138" s="3"/>
      <c r="K1138" s="3"/>
      <c r="L1138" s="3"/>
      <c r="M1138" s="3"/>
      <c r="T1138" s="3">
        <f t="shared" si="224"/>
        <v>0.2</v>
      </c>
      <c r="U1138" s="3">
        <f>U1123 + $O$7 * T1121* T1130</f>
        <v>0.39992046916998464</v>
      </c>
      <c r="V1138" s="3"/>
      <c r="W1138" s="3"/>
      <c r="X1138" s="3"/>
      <c r="Y1138" s="3">
        <f>Y1123 + $O$7 * X1121* X1130</f>
        <v>0.39288183773346957</v>
      </c>
      <c r="Z1138" s="3"/>
      <c r="AA1138" s="3"/>
      <c r="AB1138" s="3"/>
      <c r="AC1138" s="3"/>
      <c r="AD1138" s="3"/>
      <c r="AE1138" s="3"/>
    </row>
    <row r="1139" spans="2:31" x14ac:dyDescent="0.3">
      <c r="B1139" s="3">
        <f>$B$8</f>
        <v>0.1</v>
      </c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T1139" s="3">
        <f t="shared" si="224"/>
        <v>0.2</v>
      </c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</row>
    <row r="1140" spans="2:31" x14ac:dyDescent="0.3">
      <c r="B1140" s="3">
        <f>$B$9</f>
        <v>0.1</v>
      </c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T1140" s="3">
        <f t="shared" si="224"/>
        <v>0.2</v>
      </c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</row>
    <row r="1141" spans="2:31" x14ac:dyDescent="0.3">
      <c r="B1141" s="3">
        <f>$B$10</f>
        <v>0.1</v>
      </c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T1141" s="3">
        <f t="shared" si="224"/>
        <v>0.2</v>
      </c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</row>
    <row r="1142" spans="2:31" x14ac:dyDescent="0.3">
      <c r="B1142" s="3">
        <f>$B$11</f>
        <v>0.1</v>
      </c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T1142" s="3">
        <f>$B$11</f>
        <v>0.1</v>
      </c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</row>
    <row r="1148" spans="2:31" x14ac:dyDescent="0.3">
      <c r="B1148" s="8" t="s">
        <v>4</v>
      </c>
      <c r="C1148" s="8"/>
      <c r="D1148" s="8"/>
      <c r="E1148" s="8"/>
      <c r="F1148" s="8" t="s">
        <v>5</v>
      </c>
      <c r="G1148" s="8"/>
      <c r="H1148" s="8"/>
      <c r="I1148" s="8"/>
      <c r="J1148" s="8" t="s">
        <v>6</v>
      </c>
      <c r="K1148" s="8"/>
      <c r="L1148" s="8"/>
      <c r="M1148" s="8"/>
      <c r="T1148" s="9" t="s">
        <v>4</v>
      </c>
      <c r="U1148" s="10"/>
      <c r="V1148" s="10"/>
      <c r="W1148" s="11"/>
      <c r="X1148" s="9" t="s">
        <v>5</v>
      </c>
      <c r="Y1148" s="10"/>
      <c r="Z1148" s="10"/>
      <c r="AA1148" s="11"/>
      <c r="AB1148" s="9" t="s">
        <v>6</v>
      </c>
      <c r="AC1148" s="10"/>
      <c r="AD1148" s="10"/>
      <c r="AE1148" s="11"/>
    </row>
    <row r="1149" spans="2:31" x14ac:dyDescent="0.3">
      <c r="B1149" s="8"/>
      <c r="C1149" s="8"/>
      <c r="D1149" s="8"/>
      <c r="E1149" s="8"/>
      <c r="F1149" s="8"/>
      <c r="G1149" s="8"/>
      <c r="H1149" s="8"/>
      <c r="I1149" s="8"/>
      <c r="J1149" s="8"/>
      <c r="K1149" s="8"/>
      <c r="L1149" s="8"/>
      <c r="M1149" s="8"/>
      <c r="T1149" s="12"/>
      <c r="U1149" s="13"/>
      <c r="V1149" s="13"/>
      <c r="W1149" s="14"/>
      <c r="X1149" s="12"/>
      <c r="Y1149" s="13"/>
      <c r="Z1149" s="13"/>
      <c r="AA1149" s="14"/>
      <c r="AB1149" s="12"/>
      <c r="AC1149" s="13"/>
      <c r="AD1149" s="13"/>
      <c r="AE1149" s="14"/>
    </row>
    <row r="1150" spans="2:31" x14ac:dyDescent="0.3">
      <c r="B1150" s="3" t="s">
        <v>0</v>
      </c>
      <c r="C1150" s="3" t="s">
        <v>1</v>
      </c>
      <c r="D1150" s="3" t="s">
        <v>2</v>
      </c>
      <c r="E1150" s="3" t="s">
        <v>3</v>
      </c>
      <c r="F1150" s="3" t="s">
        <v>0</v>
      </c>
      <c r="G1150" s="3" t="s">
        <v>1</v>
      </c>
      <c r="H1150" s="3" t="s">
        <v>2</v>
      </c>
      <c r="I1150" s="3" t="s">
        <v>3</v>
      </c>
      <c r="J1150" s="3" t="s">
        <v>0</v>
      </c>
      <c r="K1150" s="3" t="s">
        <v>1</v>
      </c>
      <c r="L1150" s="3" t="s">
        <v>2</v>
      </c>
      <c r="M1150" s="3" t="s">
        <v>3</v>
      </c>
      <c r="T1150" s="3" t="s">
        <v>0</v>
      </c>
      <c r="U1150" s="3" t="s">
        <v>1</v>
      </c>
      <c r="V1150" s="3" t="s">
        <v>2</v>
      </c>
      <c r="W1150" s="3" t="s">
        <v>3</v>
      </c>
      <c r="X1150" s="3" t="s">
        <v>0</v>
      </c>
      <c r="Y1150" s="3" t="s">
        <v>1</v>
      </c>
      <c r="Z1150" s="3" t="s">
        <v>2</v>
      </c>
      <c r="AA1150" s="3" t="s">
        <v>3</v>
      </c>
      <c r="AB1150" s="3" t="s">
        <v>0</v>
      </c>
      <c r="AC1150" s="3" t="s">
        <v>1</v>
      </c>
      <c r="AD1150" s="3" t="s">
        <v>2</v>
      </c>
      <c r="AE1150" s="3" t="s">
        <v>3</v>
      </c>
    </row>
    <row r="1151" spans="2:31" x14ac:dyDescent="0.3">
      <c r="B1151" s="3">
        <f>$B$4</f>
        <v>0.1</v>
      </c>
      <c r="C1151" s="3">
        <f>U1135</f>
        <v>9.9930936772366419E-2</v>
      </c>
      <c r="D1151" s="3">
        <f>B1151*C1151+B1152*C1152</f>
        <v>2.9986187354473282E-2</v>
      </c>
      <c r="E1151" s="3">
        <f>1/(1+EXP(-D1151))</f>
        <v>0.50749598516572592</v>
      </c>
      <c r="F1151" s="3">
        <f>E1151</f>
        <v>0.50749598516572592</v>
      </c>
      <c r="G1151" s="3">
        <f>Y1135</f>
        <v>0.10721089278987049</v>
      </c>
      <c r="H1151" s="3">
        <f>F1151*G1151+F1152*G1152</f>
        <v>0.16167784251151784</v>
      </c>
      <c r="I1151" s="3">
        <f>1/(1+EXP(-H1151))</f>
        <v>0.54033164403957235</v>
      </c>
      <c r="J1151" s="3">
        <f>I1151</f>
        <v>0.54033164403957235</v>
      </c>
      <c r="K1151" s="3">
        <f>AC1135</f>
        <v>-0.49069138707292342</v>
      </c>
      <c r="L1151" s="3">
        <f>J1151*K1151+J1152*K1152</f>
        <v>-0.14277826904660873</v>
      </c>
      <c r="M1151" s="3">
        <f>1/(1+EXP(-L1151))</f>
        <v>0.46436594741067577</v>
      </c>
      <c r="T1151" s="3">
        <f>$O$19</f>
        <v>0.2</v>
      </c>
      <c r="U1151" s="3">
        <f>C1166</f>
        <v>9.9930657425635491E-2</v>
      </c>
      <c r="V1151" s="3">
        <f>T1151*U1151+T1152*U1152</f>
        <v>5.9972262970254195E-2</v>
      </c>
      <c r="W1151" s="3">
        <f>1/(1+EXP(-V1151))</f>
        <v>0.51498857359618155</v>
      </c>
      <c r="X1151" s="3">
        <f>W1151</f>
        <v>0.51498857359618155</v>
      </c>
      <c r="Y1151" s="3">
        <f>G1166</f>
        <v>0.10760900199712534</v>
      </c>
      <c r="Z1151" s="3">
        <f>X1151*Y1151+X1152*Y1152</f>
        <v>0.16651968512879459</v>
      </c>
      <c r="AA1151" s="3">
        <f>1/(1+EXP(-Z1151))</f>
        <v>0.54153399160897198</v>
      </c>
      <c r="AB1151" s="3">
        <f>AA1151</f>
        <v>0.54153399160897198</v>
      </c>
      <c r="AC1151" s="3">
        <f>K1166</f>
        <v>-0.5046029703467535</v>
      </c>
      <c r="AD1151" s="3">
        <f>AB1151*AC1151+AB1152*AC1152</f>
        <v>-0.15045383991886557</v>
      </c>
      <c r="AE1151" s="3">
        <f>1/(1+EXP(-AD1151))</f>
        <v>0.46245733242169551</v>
      </c>
    </row>
    <row r="1152" spans="2:31" x14ac:dyDescent="0.3">
      <c r="B1152" s="3">
        <f>$B$5</f>
        <v>0.1</v>
      </c>
      <c r="C1152" s="3">
        <f>U1136</f>
        <v>0.19993093677236637</v>
      </c>
      <c r="D1152" s="3">
        <f>B1151*C1153+B1152*C1154</f>
        <v>6.9984093833996924E-2</v>
      </c>
      <c r="E1152" s="3">
        <f>1/(1+EXP(-D1152))</f>
        <v>0.5174888859910719</v>
      </c>
      <c r="F1152" s="3">
        <f>E1152</f>
        <v>0.5174888859910719</v>
      </c>
      <c r="G1152" s="3">
        <f t="shared" ref="G1152:G1154" si="225">Y1136</f>
        <v>0.207287050521267</v>
      </c>
      <c r="H1152" s="3">
        <f>F1151*G1153+F1152*G1154</f>
        <v>0.35200855836224654</v>
      </c>
      <c r="I1152" s="3">
        <f>1/(1+EXP(-H1152))</f>
        <v>0.58710456420022805</v>
      </c>
      <c r="J1152" s="3">
        <f>I1152</f>
        <v>0.58710456420022805</v>
      </c>
      <c r="K1152" s="3">
        <f>AC1136</f>
        <v>0.20840889733712384</v>
      </c>
      <c r="L1152" s="3"/>
      <c r="M1152" s="3"/>
      <c r="T1152" s="3">
        <f t="shared" ref="T1152:T1158" si="226">$O$19</f>
        <v>0.2</v>
      </c>
      <c r="U1152" s="3">
        <f t="shared" ref="U1152:U1154" si="227">C1167</f>
        <v>0.19993065742563546</v>
      </c>
      <c r="V1152" s="3">
        <f>T1151*U1153+T1152*U1154</f>
        <v>0.13996853573584067</v>
      </c>
      <c r="W1152" s="3">
        <f>1/(1+EXP(-V1152))</f>
        <v>0.53493511750173195</v>
      </c>
      <c r="X1152" s="3">
        <f>W1152</f>
        <v>0.53493511750173195</v>
      </c>
      <c r="Y1152" s="3">
        <f t="shared" ref="Y1152:Y1154" si="228">G1167</f>
        <v>0.2076929987379762</v>
      </c>
      <c r="Z1152" s="3">
        <f>X1151*Y1153+X1152*Y1154</f>
        <v>0.36088319170177408</v>
      </c>
      <c r="AA1152" s="3">
        <f>1/(1+EXP(-Z1152))</f>
        <v>0.589254213039206</v>
      </c>
      <c r="AB1152" s="3">
        <f>AA1152</f>
        <v>0.589254213039206</v>
      </c>
      <c r="AC1152" s="3">
        <f>K1167</f>
        <v>0.20840889733712384</v>
      </c>
      <c r="AD1152" s="3"/>
      <c r="AE1152" s="3"/>
    </row>
    <row r="1153" spans="1:31" x14ac:dyDescent="0.3">
      <c r="B1153" s="3">
        <f>$B$6</f>
        <v>0.1</v>
      </c>
      <c r="C1153" s="3">
        <f t="shared" ref="C1153:C1154" si="229">U1137</f>
        <v>0.2999204691699846</v>
      </c>
      <c r="D1153" s="3"/>
      <c r="E1153" s="3"/>
      <c r="F1153" s="3"/>
      <c r="G1153" s="3">
        <f t="shared" si="225"/>
        <v>0.29300049295733938</v>
      </c>
      <c r="H1153" s="3"/>
      <c r="I1153" s="3"/>
      <c r="J1153" s="3"/>
      <c r="K1153" s="3"/>
      <c r="L1153" s="3"/>
      <c r="M1153" s="3"/>
      <c r="T1153" s="3">
        <f t="shared" si="226"/>
        <v>0.2</v>
      </c>
      <c r="U1153" s="3">
        <f t="shared" si="227"/>
        <v>0.29992133933960163</v>
      </c>
      <c r="V1153" s="3"/>
      <c r="W1153" s="3"/>
      <c r="X1153" s="3"/>
      <c r="Y1153" s="3">
        <f t="shared" si="228"/>
        <v>0.29283546384201914</v>
      </c>
      <c r="Z1153" s="3"/>
      <c r="AA1153" s="3"/>
      <c r="AB1153" s="3"/>
      <c r="AC1153" s="3"/>
      <c r="AD1153" s="3"/>
      <c r="AE1153" s="3"/>
    </row>
    <row r="1154" spans="1:31" x14ac:dyDescent="0.3">
      <c r="B1154" s="3">
        <f>$B$7</f>
        <v>0.1</v>
      </c>
      <c r="C1154" s="3">
        <f t="shared" si="229"/>
        <v>0.39992046916998464</v>
      </c>
      <c r="D1154" s="3"/>
      <c r="E1154" s="3"/>
      <c r="F1154" s="3"/>
      <c r="G1154" s="3">
        <f t="shared" si="225"/>
        <v>0.39288183773346957</v>
      </c>
      <c r="H1154" s="3"/>
      <c r="I1154" s="3"/>
      <c r="J1154" s="3"/>
      <c r="K1154" s="3"/>
      <c r="L1154" s="3"/>
      <c r="M1154" s="3"/>
      <c r="T1154" s="3">
        <f t="shared" si="226"/>
        <v>0.2</v>
      </c>
      <c r="U1154" s="3">
        <f t="shared" si="227"/>
        <v>0.39992133933960167</v>
      </c>
      <c r="V1154" s="3"/>
      <c r="W1154" s="3"/>
      <c r="X1154" s="3"/>
      <c r="Y1154" s="3">
        <f t="shared" si="228"/>
        <v>0.39271355909572769</v>
      </c>
      <c r="Z1154" s="3"/>
      <c r="AA1154" s="3"/>
      <c r="AB1154" s="3"/>
      <c r="AC1154" s="3"/>
      <c r="AD1154" s="3"/>
      <c r="AE1154" s="3"/>
    </row>
    <row r="1155" spans="1:31" x14ac:dyDescent="0.3">
      <c r="B1155" s="3">
        <f>$B$8</f>
        <v>0.1</v>
      </c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T1155" s="3">
        <f t="shared" si="226"/>
        <v>0.2</v>
      </c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</row>
    <row r="1156" spans="1:31" x14ac:dyDescent="0.3">
      <c r="B1156" s="3">
        <f>$B$9</f>
        <v>0.1</v>
      </c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T1156" s="3">
        <f t="shared" si="226"/>
        <v>0.2</v>
      </c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</row>
    <row r="1157" spans="1:31" x14ac:dyDescent="0.3">
      <c r="B1157" s="3">
        <f>$B$10</f>
        <v>0.1</v>
      </c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T1157" s="3">
        <f t="shared" si="226"/>
        <v>0.2</v>
      </c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</row>
    <row r="1158" spans="1:31" x14ac:dyDescent="0.3">
      <c r="B1158" s="3">
        <f>$B$11</f>
        <v>0.1</v>
      </c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T1158" s="3">
        <f t="shared" si="226"/>
        <v>0.2</v>
      </c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</row>
    <row r="1160" spans="1:31" x14ac:dyDescent="0.3">
      <c r="A1160" s="4" t="s">
        <v>7</v>
      </c>
      <c r="B1160" s="5">
        <f>E1151 * (1 - E1151) * (G1151 * F1160 + G1153 * F1161)</f>
        <v>-2.7934673092286416E-5</v>
      </c>
      <c r="C1160" s="6"/>
      <c r="D1160" s="6"/>
      <c r="E1160" s="7"/>
      <c r="F1160" s="5">
        <f>I1151 * (1 - I1151) * K1151 *J1160</f>
        <v>7.8445784575977683E-3</v>
      </c>
      <c r="G1160" s="6"/>
      <c r="H1160" s="6"/>
      <c r="I1160" s="7"/>
      <c r="J1160" s="5">
        <f>$P$18 - M1151</f>
        <v>-6.436594741067575E-2</v>
      </c>
      <c r="K1160" s="6"/>
      <c r="L1160" s="6"/>
      <c r="M1160" s="7"/>
      <c r="S1160" s="4" t="s">
        <v>7</v>
      </c>
      <c r="T1160" s="5">
        <f>W1151 * (1 - W1151) * (Y1151 * X1160 + Y1153 * X1161)</f>
        <v>1.209582673314541E-5</v>
      </c>
      <c r="U1160" s="6"/>
      <c r="V1160" s="6"/>
      <c r="W1160" s="7"/>
      <c r="X1160" s="5">
        <f>AA1151 * (1 - AA1151) * AC1151 *AB1160</f>
        <v>-4.7033553767987868E-3</v>
      </c>
      <c r="Y1160" s="6"/>
      <c r="Z1160" s="6"/>
      <c r="AA1160" s="7"/>
      <c r="AB1160" s="5">
        <f>$P$19 - AE1151</f>
        <v>3.7542667578304489E-2</v>
      </c>
      <c r="AC1160" s="6"/>
      <c r="AD1160" s="6"/>
      <c r="AE1160" s="7"/>
    </row>
    <row r="1161" spans="1:31" x14ac:dyDescent="0.3">
      <c r="B1161" s="5">
        <f>E1152 * (1 - E1152) * (G1152 * F1160 + G1154 * F1161)</f>
        <v>8.7016961704514698E-5</v>
      </c>
      <c r="C1161" s="6"/>
      <c r="D1161" s="6"/>
      <c r="E1161" s="7"/>
      <c r="F1161" s="5">
        <f>J1152 * (1 - J1152) * K1152 * J1160</f>
        <v>-3.2518309532308461E-3</v>
      </c>
      <c r="G1161" s="6"/>
      <c r="H1161" s="6"/>
      <c r="I1161" s="7"/>
      <c r="T1161" s="5">
        <f>W1152 * (1 - W1152) * (Y1152 * X1160 + Y1154 * X1161)</f>
        <v>-5.800593687514147E-5</v>
      </c>
      <c r="U1161" s="6"/>
      <c r="V1161" s="6"/>
      <c r="W1161" s="7"/>
      <c r="X1161" s="5">
        <f>AB1152 * (1 - AB1152) * AC1152 * AB1160</f>
        <v>1.8937262432567603E-3</v>
      </c>
      <c r="Y1161" s="6"/>
      <c r="Z1161" s="6"/>
      <c r="AA1161" s="7"/>
    </row>
    <row r="1163" spans="1:31" x14ac:dyDescent="0.3">
      <c r="B1163" s="8" t="s">
        <v>4</v>
      </c>
      <c r="C1163" s="8"/>
      <c r="D1163" s="8"/>
      <c r="E1163" s="8"/>
      <c r="F1163" s="8" t="s">
        <v>5</v>
      </c>
      <c r="G1163" s="8"/>
      <c r="H1163" s="8"/>
      <c r="I1163" s="8"/>
      <c r="J1163" s="8" t="s">
        <v>6</v>
      </c>
      <c r="K1163" s="8"/>
      <c r="L1163" s="8"/>
      <c r="M1163" s="8"/>
      <c r="T1163" s="9" t="s">
        <v>4</v>
      </c>
      <c r="U1163" s="10"/>
      <c r="V1163" s="10"/>
      <c r="W1163" s="11"/>
      <c r="X1163" s="9" t="s">
        <v>5</v>
      </c>
      <c r="Y1163" s="10"/>
      <c r="Z1163" s="10"/>
      <c r="AA1163" s="11"/>
      <c r="AB1163" s="9" t="s">
        <v>6</v>
      </c>
      <c r="AC1163" s="10"/>
      <c r="AD1163" s="10"/>
      <c r="AE1163" s="11"/>
    </row>
    <row r="1164" spans="1:31" x14ac:dyDescent="0.3">
      <c r="B1164" s="8"/>
      <c r="C1164" s="8"/>
      <c r="D1164" s="8"/>
      <c r="E1164" s="8"/>
      <c r="F1164" s="8"/>
      <c r="G1164" s="8"/>
      <c r="H1164" s="8"/>
      <c r="I1164" s="8"/>
      <c r="J1164" s="8"/>
      <c r="K1164" s="8"/>
      <c r="L1164" s="8"/>
      <c r="M1164" s="8"/>
      <c r="T1164" s="12"/>
      <c r="U1164" s="13"/>
      <c r="V1164" s="13"/>
      <c r="W1164" s="14"/>
      <c r="X1164" s="12"/>
      <c r="Y1164" s="13"/>
      <c r="Z1164" s="13"/>
      <c r="AA1164" s="14"/>
      <c r="AB1164" s="12"/>
      <c r="AC1164" s="13"/>
      <c r="AD1164" s="13"/>
      <c r="AE1164" s="14"/>
    </row>
    <row r="1165" spans="1:31" x14ac:dyDescent="0.3">
      <c r="B1165" s="3" t="s">
        <v>0</v>
      </c>
      <c r="C1165" s="3" t="s">
        <v>1</v>
      </c>
      <c r="D1165" s="3" t="s">
        <v>2</v>
      </c>
      <c r="E1165" s="3" t="s">
        <v>3</v>
      </c>
      <c r="F1165" s="3" t="s">
        <v>0</v>
      </c>
      <c r="G1165" s="3" t="s">
        <v>1</v>
      </c>
      <c r="H1165" s="3" t="s">
        <v>2</v>
      </c>
      <c r="I1165" s="3" t="s">
        <v>3</v>
      </c>
      <c r="J1165" s="3" t="s">
        <v>0</v>
      </c>
      <c r="K1165" s="3" t="s">
        <v>1</v>
      </c>
      <c r="L1165" s="3" t="s">
        <v>2</v>
      </c>
      <c r="M1165" s="3" t="s">
        <v>3</v>
      </c>
      <c r="T1165" s="3">
        <f>$O$19</f>
        <v>0.2</v>
      </c>
      <c r="U1165" s="3" t="s">
        <v>1</v>
      </c>
      <c r="V1165" s="3" t="s">
        <v>2</v>
      </c>
      <c r="W1165" s="3" t="s">
        <v>3</v>
      </c>
      <c r="X1165" s="3" t="s">
        <v>0</v>
      </c>
      <c r="Y1165" s="3" t="s">
        <v>1</v>
      </c>
      <c r="Z1165" s="3" t="s">
        <v>2</v>
      </c>
      <c r="AA1165" s="3" t="s">
        <v>3</v>
      </c>
      <c r="AB1165" s="3" t="s">
        <v>0</v>
      </c>
      <c r="AC1165" s="3" t="s">
        <v>1</v>
      </c>
      <c r="AD1165" s="3" t="s">
        <v>2</v>
      </c>
      <c r="AE1165" s="3" t="s">
        <v>3</v>
      </c>
    </row>
    <row r="1166" spans="1:31" x14ac:dyDescent="0.3">
      <c r="B1166" s="3">
        <f>$B$4</f>
        <v>0.1</v>
      </c>
      <c r="C1166" s="3">
        <f>C1151 + $O$7 * B1151 * B1160</f>
        <v>9.9930657425635491E-2</v>
      </c>
      <c r="D1166" s="3">
        <f>B1166*C1166+B1167*C1167</f>
        <v>2.9986131485127097E-2</v>
      </c>
      <c r="E1166" s="3">
        <f>1/(1+EXP(-D1166))</f>
        <v>0.50749597120152867</v>
      </c>
      <c r="F1166" s="3">
        <f>E1166</f>
        <v>0.50749597120152867</v>
      </c>
      <c r="G1166" s="3">
        <f>G1151 + $O$7 * F1151 * F1160</f>
        <v>0.10760900199712534</v>
      </c>
      <c r="H1166" s="3">
        <f>F1166*G1166+F1167*G1167</f>
        <v>0.16208996254897004</v>
      </c>
      <c r="I1166" s="3">
        <f>1/(1+EXP(-H1166))</f>
        <v>0.54043400197458602</v>
      </c>
      <c r="J1166" s="3">
        <f>I1166</f>
        <v>0.54043400197458602</v>
      </c>
      <c r="K1166" s="3">
        <f>K1151 + $P$18 * J1151 * J1160</f>
        <v>-0.5046029703467535</v>
      </c>
      <c r="L1166" s="3">
        <f>J1166*K1166+J1167*K1167</f>
        <v>-0.15035541799755225</v>
      </c>
      <c r="M1166" s="3">
        <f>1/(1+EXP(-L1166))</f>
        <v>0.46248179927144673</v>
      </c>
      <c r="T1166" s="3">
        <f t="shared" ref="T1166:T1172" si="230">$O$19</f>
        <v>0.2</v>
      </c>
      <c r="U1166" s="3">
        <f>U1151 + $O$7 * T1151 * T1160</f>
        <v>9.9930899342170157E-2</v>
      </c>
      <c r="V1166" s="3">
        <f>T1166*U1166+T1167*U1167</f>
        <v>5.9972359736868062E-2</v>
      </c>
      <c r="W1166" s="3">
        <f>1/(1+EXP(-V1166))</f>
        <v>0.51498859776609573</v>
      </c>
      <c r="X1166" s="3">
        <f>W1166</f>
        <v>0.51498859776609573</v>
      </c>
      <c r="Y1166" s="3">
        <f>Y1151 + $O$7 * X1151 * X1160</f>
        <v>0.10736678456946398</v>
      </c>
      <c r="Z1166" s="3">
        <f>X1166*Y1166+X1167*Y1167</f>
        <v>0.16626033542953864</v>
      </c>
      <c r="AA1166" s="3">
        <f>1/(1+EXP(-Z1166))</f>
        <v>0.5414696008879365</v>
      </c>
      <c r="AB1166" s="3">
        <f>AA1166</f>
        <v>0.5414696008879365</v>
      </c>
      <c r="AC1166" s="3">
        <f>AC1151 +  $P$19 * AB1151 * AB1160</f>
        <v>-0.49443765503208953</v>
      </c>
      <c r="AD1166" s="3">
        <f>AB1166*AC1166+AB1167*AC1167</f>
        <v>-0.14491187406660486</v>
      </c>
      <c r="AE1166" s="3">
        <f>1/(1+EXP(-AD1166))</f>
        <v>0.46383529592303335</v>
      </c>
    </row>
    <row r="1167" spans="1:31" x14ac:dyDescent="0.3">
      <c r="B1167" s="3">
        <f>$B$5</f>
        <v>0.1</v>
      </c>
      <c r="C1167" s="3">
        <f>C1152 + $O$7 * B1152 * B1160</f>
        <v>0.19993065742563546</v>
      </c>
      <c r="D1167" s="3">
        <f>B1166*C1168+B1167*C1169</f>
        <v>6.9984267867920336E-2</v>
      </c>
      <c r="E1167" s="3">
        <f>1/(1+EXP(-D1167))</f>
        <v>0.51748892944632241</v>
      </c>
      <c r="F1167" s="3">
        <f>E1167</f>
        <v>0.51748892944632241</v>
      </c>
      <c r="G1167" s="3">
        <f>G1152 + $O$7 * F1152 * F1160</f>
        <v>0.2076929987379762</v>
      </c>
      <c r="H1167" s="3">
        <f>F1166*G1168+F1167*G1169</f>
        <v>0.35183773740025881</v>
      </c>
      <c r="I1167" s="3">
        <f>1/(1+EXP(-H1167))</f>
        <v>0.58706315439735823</v>
      </c>
      <c r="J1167" s="3">
        <f>I1167</f>
        <v>0.58706315439735823</v>
      </c>
      <c r="K1167" s="3">
        <f>K1152 + $P$18 * J1152 * J1161</f>
        <v>0.20840889733712384</v>
      </c>
      <c r="L1167" s="3"/>
      <c r="M1167" s="3"/>
      <c r="T1167" s="3">
        <f t="shared" si="230"/>
        <v>0.2</v>
      </c>
      <c r="U1167" s="3">
        <f>U1152 + $O$7 * T1152 * T1160</f>
        <v>0.19993089934217012</v>
      </c>
      <c r="V1167" s="3">
        <f>T1166*U1168+T1167*U1169</f>
        <v>0.13996807168834566</v>
      </c>
      <c r="W1167" s="3">
        <f>1/(1+EXP(-V1167))</f>
        <v>0.53493500205620892</v>
      </c>
      <c r="X1167" s="3">
        <f>W1167</f>
        <v>0.53493500205620892</v>
      </c>
      <c r="Y1167" s="3">
        <f>Y1152 + $O$7 * X1152 * X1160</f>
        <v>0.20744139974186218</v>
      </c>
      <c r="Z1167" s="3">
        <f>X1166*Y1168+X1167*Y1169</f>
        <v>0.3609875675919082</v>
      </c>
      <c r="AA1167" s="3">
        <f>1/(1+EXP(-Z1167))</f>
        <v>0.58927947528520208</v>
      </c>
      <c r="AB1167" s="3">
        <f>AA1167</f>
        <v>0.58927947528520208</v>
      </c>
      <c r="AC1167" s="3">
        <f>AC1152 +  $P$19 * AB1152 * AB1161</f>
        <v>0.20840889733712384</v>
      </c>
      <c r="AD1167" s="3"/>
      <c r="AE1167" s="3"/>
    </row>
    <row r="1168" spans="1:31" x14ac:dyDescent="0.3">
      <c r="B1168" s="3">
        <f>$B$6</f>
        <v>0.1</v>
      </c>
      <c r="C1168" s="3">
        <f>C1153 + $O$7 * B1151 * B1161</f>
        <v>0.29992133933960163</v>
      </c>
      <c r="D1168" s="3"/>
      <c r="E1168" s="3"/>
      <c r="F1168" s="3"/>
      <c r="G1168" s="3">
        <f>G1153 + $O$7 * F1151 * F1161</f>
        <v>0.29283546384201914</v>
      </c>
      <c r="H1168" s="3"/>
      <c r="I1168" s="3"/>
      <c r="J1168" s="3"/>
      <c r="K1168" s="3"/>
      <c r="L1168" s="3"/>
      <c r="M1168" s="3"/>
      <c r="T1168" s="3">
        <f t="shared" si="230"/>
        <v>0.2</v>
      </c>
      <c r="U1168" s="3">
        <f>U1153 + $O$7 * T1151 * T1161</f>
        <v>0.29992017922086411</v>
      </c>
      <c r="V1168" s="3"/>
      <c r="W1168" s="3"/>
      <c r="X1168" s="3"/>
      <c r="Y1168" s="3">
        <f>Y1153 + $O$7 * X1151 * X1161</f>
        <v>0.29293298857969879</v>
      </c>
      <c r="Z1168" s="3"/>
      <c r="AA1168" s="3"/>
      <c r="AB1168" s="3"/>
      <c r="AC1168" s="3"/>
      <c r="AD1168" s="3"/>
      <c r="AE1168" s="3"/>
    </row>
    <row r="1169" spans="2:31" x14ac:dyDescent="0.3">
      <c r="B1169" s="3">
        <f>$B$7</f>
        <v>0.1</v>
      </c>
      <c r="C1169" s="3">
        <f>C1154 + $O$7 * B1152* B1161</f>
        <v>0.39992133933960167</v>
      </c>
      <c r="D1169" s="3"/>
      <c r="E1169" s="3"/>
      <c r="F1169" s="3"/>
      <c r="G1169" s="3">
        <f>G1154 + $O$7 * F1152* F1161</f>
        <v>0.39271355909572769</v>
      </c>
      <c r="H1169" s="3"/>
      <c r="I1169" s="3"/>
      <c r="J1169" s="3"/>
      <c r="K1169" s="3"/>
      <c r="L1169" s="3"/>
      <c r="M1169" s="3"/>
      <c r="T1169" s="3">
        <f t="shared" si="230"/>
        <v>0.2</v>
      </c>
      <c r="U1169" s="3">
        <f>U1154 + $O$7 * T1152* T1161</f>
        <v>0.39992017922086415</v>
      </c>
      <c r="V1169" s="3"/>
      <c r="W1169" s="3"/>
      <c r="X1169" s="3"/>
      <c r="Y1169" s="3">
        <f>Y1154 + $O$7 * X1152* X1161</f>
        <v>0.39281486116277298</v>
      </c>
      <c r="Z1169" s="3"/>
      <c r="AA1169" s="3"/>
      <c r="AB1169" s="3"/>
      <c r="AC1169" s="3"/>
      <c r="AD1169" s="3"/>
      <c r="AE1169" s="3"/>
    </row>
    <row r="1170" spans="2:31" x14ac:dyDescent="0.3">
      <c r="B1170" s="3">
        <f>$B$8</f>
        <v>0.1</v>
      </c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T1170" s="3">
        <f t="shared" si="230"/>
        <v>0.2</v>
      </c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</row>
    <row r="1171" spans="2:31" x14ac:dyDescent="0.3">
      <c r="B1171" s="3">
        <f>$B$9</f>
        <v>0.1</v>
      </c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T1171" s="3">
        <f t="shared" si="230"/>
        <v>0.2</v>
      </c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</row>
    <row r="1172" spans="2:31" x14ac:dyDescent="0.3">
      <c r="B1172" s="3">
        <f>$B$10</f>
        <v>0.1</v>
      </c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T1172" s="3">
        <f t="shared" si="230"/>
        <v>0.2</v>
      </c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</row>
    <row r="1173" spans="2:31" x14ac:dyDescent="0.3">
      <c r="B1173" s="3">
        <f>$B$11</f>
        <v>0.1</v>
      </c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T1173" s="3">
        <f>$B$11</f>
        <v>0.1</v>
      </c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</row>
  </sheetData>
  <mergeCells count="858">
    <mergeCell ref="AB1163:AE1164"/>
    <mergeCell ref="B1161:E1161"/>
    <mergeCell ref="F1161:I1161"/>
    <mergeCell ref="T1161:W1161"/>
    <mergeCell ref="X1161:AA1161"/>
    <mergeCell ref="B1163:E1164"/>
    <mergeCell ref="F1163:I1164"/>
    <mergeCell ref="J1163:M1164"/>
    <mergeCell ref="T1163:W1164"/>
    <mergeCell ref="X1163:AA1164"/>
    <mergeCell ref="B1160:E1160"/>
    <mergeCell ref="F1160:I1160"/>
    <mergeCell ref="J1160:M1160"/>
    <mergeCell ref="T1160:W1160"/>
    <mergeCell ref="X1160:AA1160"/>
    <mergeCell ref="AB1160:AE1160"/>
    <mergeCell ref="AB1132:AE1133"/>
    <mergeCell ref="B1148:E1149"/>
    <mergeCell ref="F1148:I1149"/>
    <mergeCell ref="J1148:M1149"/>
    <mergeCell ref="T1148:W1149"/>
    <mergeCell ref="X1148:AA1149"/>
    <mergeCell ref="AB1148:AE1149"/>
    <mergeCell ref="B1130:E1130"/>
    <mergeCell ref="F1130:I1130"/>
    <mergeCell ref="T1130:W1130"/>
    <mergeCell ref="X1130:AA1130"/>
    <mergeCell ref="B1132:E1133"/>
    <mergeCell ref="F1132:I1133"/>
    <mergeCell ref="J1132:M1133"/>
    <mergeCell ref="T1132:W1133"/>
    <mergeCell ref="X1132:AA1133"/>
    <mergeCell ref="B1129:E1129"/>
    <mergeCell ref="F1129:I1129"/>
    <mergeCell ref="J1129:M1129"/>
    <mergeCell ref="T1129:W1129"/>
    <mergeCell ref="X1129:AA1129"/>
    <mergeCell ref="AB1129:AE1129"/>
    <mergeCell ref="AB1101:AE1102"/>
    <mergeCell ref="B1117:E1118"/>
    <mergeCell ref="F1117:I1118"/>
    <mergeCell ref="J1117:M1118"/>
    <mergeCell ref="T1117:W1118"/>
    <mergeCell ref="X1117:AA1118"/>
    <mergeCell ref="AB1117:AE1118"/>
    <mergeCell ref="B1099:E1099"/>
    <mergeCell ref="F1099:I1099"/>
    <mergeCell ref="T1099:W1099"/>
    <mergeCell ref="X1099:AA1099"/>
    <mergeCell ref="B1101:E1102"/>
    <mergeCell ref="F1101:I1102"/>
    <mergeCell ref="J1101:M1102"/>
    <mergeCell ref="T1101:W1102"/>
    <mergeCell ref="X1101:AA1102"/>
    <mergeCell ref="B1098:E1098"/>
    <mergeCell ref="F1098:I1098"/>
    <mergeCell ref="J1098:M1098"/>
    <mergeCell ref="T1098:W1098"/>
    <mergeCell ref="X1098:AA1098"/>
    <mergeCell ref="AB1098:AE1098"/>
    <mergeCell ref="AB1070:AE1071"/>
    <mergeCell ref="B1086:E1087"/>
    <mergeCell ref="F1086:I1087"/>
    <mergeCell ref="J1086:M1087"/>
    <mergeCell ref="T1086:W1087"/>
    <mergeCell ref="X1086:AA1087"/>
    <mergeCell ref="AB1086:AE1087"/>
    <mergeCell ref="B1068:E1068"/>
    <mergeCell ref="F1068:I1068"/>
    <mergeCell ref="T1068:W1068"/>
    <mergeCell ref="X1068:AA1068"/>
    <mergeCell ref="B1070:E1071"/>
    <mergeCell ref="F1070:I1071"/>
    <mergeCell ref="J1070:M1071"/>
    <mergeCell ref="T1070:W1071"/>
    <mergeCell ref="X1070:AA1071"/>
    <mergeCell ref="B1067:E1067"/>
    <mergeCell ref="F1067:I1067"/>
    <mergeCell ref="J1067:M1067"/>
    <mergeCell ref="T1067:W1067"/>
    <mergeCell ref="X1067:AA1067"/>
    <mergeCell ref="AB1067:AE1067"/>
    <mergeCell ref="AB1039:AE1040"/>
    <mergeCell ref="B1055:E1056"/>
    <mergeCell ref="F1055:I1056"/>
    <mergeCell ref="J1055:M1056"/>
    <mergeCell ref="T1055:W1056"/>
    <mergeCell ref="X1055:AA1056"/>
    <mergeCell ref="AB1055:AE1056"/>
    <mergeCell ref="B1037:E1037"/>
    <mergeCell ref="F1037:I1037"/>
    <mergeCell ref="T1037:W1037"/>
    <mergeCell ref="X1037:AA1037"/>
    <mergeCell ref="B1039:E1040"/>
    <mergeCell ref="F1039:I1040"/>
    <mergeCell ref="J1039:M1040"/>
    <mergeCell ref="T1039:W1040"/>
    <mergeCell ref="X1039:AA1040"/>
    <mergeCell ref="B1036:E1036"/>
    <mergeCell ref="F1036:I1036"/>
    <mergeCell ref="J1036:M1036"/>
    <mergeCell ref="T1036:W1036"/>
    <mergeCell ref="X1036:AA1036"/>
    <mergeCell ref="AB1036:AE1036"/>
    <mergeCell ref="AB1008:AE1009"/>
    <mergeCell ref="B1024:E1025"/>
    <mergeCell ref="F1024:I1025"/>
    <mergeCell ref="J1024:M1025"/>
    <mergeCell ref="T1024:W1025"/>
    <mergeCell ref="X1024:AA1025"/>
    <mergeCell ref="AB1024:AE1025"/>
    <mergeCell ref="B1006:E1006"/>
    <mergeCell ref="F1006:I1006"/>
    <mergeCell ref="T1006:W1006"/>
    <mergeCell ref="X1006:AA1006"/>
    <mergeCell ref="B1008:E1009"/>
    <mergeCell ref="F1008:I1009"/>
    <mergeCell ref="J1008:M1009"/>
    <mergeCell ref="T1008:W1009"/>
    <mergeCell ref="X1008:AA1009"/>
    <mergeCell ref="B1005:E1005"/>
    <mergeCell ref="F1005:I1005"/>
    <mergeCell ref="J1005:M1005"/>
    <mergeCell ref="T1005:W1005"/>
    <mergeCell ref="X1005:AA1005"/>
    <mergeCell ref="AB1005:AE1005"/>
    <mergeCell ref="AB977:AE978"/>
    <mergeCell ref="B993:E994"/>
    <mergeCell ref="F993:I994"/>
    <mergeCell ref="J993:M994"/>
    <mergeCell ref="T993:W994"/>
    <mergeCell ref="X993:AA994"/>
    <mergeCell ref="AB993:AE994"/>
    <mergeCell ref="B975:E975"/>
    <mergeCell ref="F975:I975"/>
    <mergeCell ref="T975:W975"/>
    <mergeCell ref="X975:AA975"/>
    <mergeCell ref="B977:E978"/>
    <mergeCell ref="F977:I978"/>
    <mergeCell ref="J977:M978"/>
    <mergeCell ref="T977:W978"/>
    <mergeCell ref="X977:AA978"/>
    <mergeCell ref="B974:E974"/>
    <mergeCell ref="F974:I974"/>
    <mergeCell ref="J974:M974"/>
    <mergeCell ref="T974:W974"/>
    <mergeCell ref="X974:AA974"/>
    <mergeCell ref="AB974:AE974"/>
    <mergeCell ref="AB946:AE947"/>
    <mergeCell ref="B962:E963"/>
    <mergeCell ref="F962:I963"/>
    <mergeCell ref="J962:M963"/>
    <mergeCell ref="T962:W963"/>
    <mergeCell ref="X962:AA963"/>
    <mergeCell ref="AB962:AE963"/>
    <mergeCell ref="B944:E944"/>
    <mergeCell ref="F944:I944"/>
    <mergeCell ref="T944:W944"/>
    <mergeCell ref="X944:AA944"/>
    <mergeCell ref="B946:E947"/>
    <mergeCell ref="F946:I947"/>
    <mergeCell ref="J946:M947"/>
    <mergeCell ref="T946:W947"/>
    <mergeCell ref="X946:AA947"/>
    <mergeCell ref="B943:E943"/>
    <mergeCell ref="F943:I943"/>
    <mergeCell ref="J943:M943"/>
    <mergeCell ref="T943:W943"/>
    <mergeCell ref="X943:AA943"/>
    <mergeCell ref="AB943:AE943"/>
    <mergeCell ref="AB915:AE916"/>
    <mergeCell ref="B931:E932"/>
    <mergeCell ref="F931:I932"/>
    <mergeCell ref="J931:M932"/>
    <mergeCell ref="T931:W932"/>
    <mergeCell ref="X931:AA932"/>
    <mergeCell ref="AB931:AE932"/>
    <mergeCell ref="B913:E913"/>
    <mergeCell ref="F913:I913"/>
    <mergeCell ref="T913:W913"/>
    <mergeCell ref="X913:AA913"/>
    <mergeCell ref="B915:E916"/>
    <mergeCell ref="F915:I916"/>
    <mergeCell ref="J915:M916"/>
    <mergeCell ref="T915:W916"/>
    <mergeCell ref="X915:AA916"/>
    <mergeCell ref="B912:E912"/>
    <mergeCell ref="F912:I912"/>
    <mergeCell ref="J912:M912"/>
    <mergeCell ref="T912:W912"/>
    <mergeCell ref="X912:AA912"/>
    <mergeCell ref="AB912:AE912"/>
    <mergeCell ref="AB884:AE885"/>
    <mergeCell ref="B900:E901"/>
    <mergeCell ref="F900:I901"/>
    <mergeCell ref="J900:M901"/>
    <mergeCell ref="T900:W901"/>
    <mergeCell ref="X900:AA901"/>
    <mergeCell ref="AB900:AE901"/>
    <mergeCell ref="B882:E882"/>
    <mergeCell ref="F882:I882"/>
    <mergeCell ref="T882:W882"/>
    <mergeCell ref="X882:AA882"/>
    <mergeCell ref="B884:E885"/>
    <mergeCell ref="F884:I885"/>
    <mergeCell ref="J884:M885"/>
    <mergeCell ref="T884:W885"/>
    <mergeCell ref="X884:AA885"/>
    <mergeCell ref="B881:E881"/>
    <mergeCell ref="F881:I881"/>
    <mergeCell ref="J881:M881"/>
    <mergeCell ref="T881:W881"/>
    <mergeCell ref="X881:AA881"/>
    <mergeCell ref="AB881:AE881"/>
    <mergeCell ref="AB853:AE854"/>
    <mergeCell ref="B869:E870"/>
    <mergeCell ref="F869:I870"/>
    <mergeCell ref="J869:M870"/>
    <mergeCell ref="T869:W870"/>
    <mergeCell ref="X869:AA870"/>
    <mergeCell ref="AB869:AE870"/>
    <mergeCell ref="B851:E851"/>
    <mergeCell ref="F851:I851"/>
    <mergeCell ref="T851:W851"/>
    <mergeCell ref="X851:AA851"/>
    <mergeCell ref="B853:E854"/>
    <mergeCell ref="F853:I854"/>
    <mergeCell ref="J853:M854"/>
    <mergeCell ref="T853:W854"/>
    <mergeCell ref="X853:AA854"/>
    <mergeCell ref="B850:E850"/>
    <mergeCell ref="F850:I850"/>
    <mergeCell ref="J850:M850"/>
    <mergeCell ref="T850:W850"/>
    <mergeCell ref="X850:AA850"/>
    <mergeCell ref="AB850:AE850"/>
    <mergeCell ref="AB822:AE823"/>
    <mergeCell ref="B838:E839"/>
    <mergeCell ref="F838:I839"/>
    <mergeCell ref="J838:M839"/>
    <mergeCell ref="T838:W839"/>
    <mergeCell ref="X838:AA839"/>
    <mergeCell ref="AB838:AE839"/>
    <mergeCell ref="B820:E820"/>
    <mergeCell ref="F820:I820"/>
    <mergeCell ref="T820:W820"/>
    <mergeCell ref="X820:AA820"/>
    <mergeCell ref="B822:E823"/>
    <mergeCell ref="F822:I823"/>
    <mergeCell ref="J822:M823"/>
    <mergeCell ref="T822:W823"/>
    <mergeCell ref="X822:AA823"/>
    <mergeCell ref="B819:E819"/>
    <mergeCell ref="F819:I819"/>
    <mergeCell ref="J819:M819"/>
    <mergeCell ref="T819:W819"/>
    <mergeCell ref="X819:AA819"/>
    <mergeCell ref="AB819:AE819"/>
    <mergeCell ref="AB791:AE792"/>
    <mergeCell ref="B807:E808"/>
    <mergeCell ref="F807:I808"/>
    <mergeCell ref="J807:M808"/>
    <mergeCell ref="T807:W808"/>
    <mergeCell ref="X807:AA808"/>
    <mergeCell ref="AB807:AE808"/>
    <mergeCell ref="B789:E789"/>
    <mergeCell ref="F789:I789"/>
    <mergeCell ref="T789:W789"/>
    <mergeCell ref="X789:AA789"/>
    <mergeCell ref="B791:E792"/>
    <mergeCell ref="F791:I792"/>
    <mergeCell ref="J791:M792"/>
    <mergeCell ref="T791:W792"/>
    <mergeCell ref="X791:AA792"/>
    <mergeCell ref="B788:E788"/>
    <mergeCell ref="F788:I788"/>
    <mergeCell ref="J788:M788"/>
    <mergeCell ref="T788:W788"/>
    <mergeCell ref="X788:AA788"/>
    <mergeCell ref="AB788:AE788"/>
    <mergeCell ref="AB760:AE761"/>
    <mergeCell ref="B776:E777"/>
    <mergeCell ref="F776:I777"/>
    <mergeCell ref="J776:M777"/>
    <mergeCell ref="T776:W777"/>
    <mergeCell ref="X776:AA777"/>
    <mergeCell ref="AB776:AE777"/>
    <mergeCell ref="B758:E758"/>
    <mergeCell ref="F758:I758"/>
    <mergeCell ref="T758:W758"/>
    <mergeCell ref="X758:AA758"/>
    <mergeCell ref="B760:E761"/>
    <mergeCell ref="F760:I761"/>
    <mergeCell ref="J760:M761"/>
    <mergeCell ref="T760:W761"/>
    <mergeCell ref="X760:AA761"/>
    <mergeCell ref="B757:E757"/>
    <mergeCell ref="F757:I757"/>
    <mergeCell ref="J757:M757"/>
    <mergeCell ref="T757:W757"/>
    <mergeCell ref="X757:AA757"/>
    <mergeCell ref="AB757:AE757"/>
    <mergeCell ref="AB729:AE730"/>
    <mergeCell ref="B745:E746"/>
    <mergeCell ref="F745:I746"/>
    <mergeCell ref="J745:M746"/>
    <mergeCell ref="T745:W746"/>
    <mergeCell ref="X745:AA746"/>
    <mergeCell ref="AB745:AE746"/>
    <mergeCell ref="B727:E727"/>
    <mergeCell ref="F727:I727"/>
    <mergeCell ref="T727:W727"/>
    <mergeCell ref="X727:AA727"/>
    <mergeCell ref="B729:E730"/>
    <mergeCell ref="F729:I730"/>
    <mergeCell ref="J729:M730"/>
    <mergeCell ref="T729:W730"/>
    <mergeCell ref="X729:AA730"/>
    <mergeCell ref="B726:E726"/>
    <mergeCell ref="F726:I726"/>
    <mergeCell ref="J726:M726"/>
    <mergeCell ref="T726:W726"/>
    <mergeCell ref="X726:AA726"/>
    <mergeCell ref="AB726:AE726"/>
    <mergeCell ref="AB698:AE699"/>
    <mergeCell ref="B714:E715"/>
    <mergeCell ref="F714:I715"/>
    <mergeCell ref="J714:M715"/>
    <mergeCell ref="T714:W715"/>
    <mergeCell ref="X714:AA715"/>
    <mergeCell ref="AB714:AE715"/>
    <mergeCell ref="B696:E696"/>
    <mergeCell ref="F696:I696"/>
    <mergeCell ref="T696:W696"/>
    <mergeCell ref="X696:AA696"/>
    <mergeCell ref="B698:E699"/>
    <mergeCell ref="F698:I699"/>
    <mergeCell ref="J698:M699"/>
    <mergeCell ref="T698:W699"/>
    <mergeCell ref="X698:AA699"/>
    <mergeCell ref="B695:E695"/>
    <mergeCell ref="F695:I695"/>
    <mergeCell ref="J695:M695"/>
    <mergeCell ref="T695:W695"/>
    <mergeCell ref="X695:AA695"/>
    <mergeCell ref="AB695:AE695"/>
    <mergeCell ref="AB667:AE668"/>
    <mergeCell ref="B683:E684"/>
    <mergeCell ref="F683:I684"/>
    <mergeCell ref="J683:M684"/>
    <mergeCell ref="T683:W684"/>
    <mergeCell ref="X683:AA684"/>
    <mergeCell ref="AB683:AE684"/>
    <mergeCell ref="B665:E665"/>
    <mergeCell ref="F665:I665"/>
    <mergeCell ref="T665:W665"/>
    <mergeCell ref="X665:AA665"/>
    <mergeCell ref="B667:E668"/>
    <mergeCell ref="F667:I668"/>
    <mergeCell ref="J667:M668"/>
    <mergeCell ref="T667:W668"/>
    <mergeCell ref="X667:AA668"/>
    <mergeCell ref="B664:E664"/>
    <mergeCell ref="F664:I664"/>
    <mergeCell ref="J664:M664"/>
    <mergeCell ref="T664:W664"/>
    <mergeCell ref="X664:AA664"/>
    <mergeCell ref="AB664:AE664"/>
    <mergeCell ref="AB636:AE637"/>
    <mergeCell ref="B652:E653"/>
    <mergeCell ref="F652:I653"/>
    <mergeCell ref="J652:M653"/>
    <mergeCell ref="T652:W653"/>
    <mergeCell ref="X652:AA653"/>
    <mergeCell ref="AB652:AE653"/>
    <mergeCell ref="B634:E634"/>
    <mergeCell ref="F634:I634"/>
    <mergeCell ref="T634:W634"/>
    <mergeCell ref="X634:AA634"/>
    <mergeCell ref="B636:E637"/>
    <mergeCell ref="F636:I637"/>
    <mergeCell ref="J636:M637"/>
    <mergeCell ref="T636:W637"/>
    <mergeCell ref="X636:AA637"/>
    <mergeCell ref="B633:E633"/>
    <mergeCell ref="F633:I633"/>
    <mergeCell ref="J633:M633"/>
    <mergeCell ref="T633:W633"/>
    <mergeCell ref="X633:AA633"/>
    <mergeCell ref="AB633:AE633"/>
    <mergeCell ref="AB605:AE606"/>
    <mergeCell ref="B621:E622"/>
    <mergeCell ref="F621:I622"/>
    <mergeCell ref="J621:M622"/>
    <mergeCell ref="T621:W622"/>
    <mergeCell ref="X621:AA622"/>
    <mergeCell ref="AB621:AE622"/>
    <mergeCell ref="B603:E603"/>
    <mergeCell ref="F603:I603"/>
    <mergeCell ref="T603:W603"/>
    <mergeCell ref="X603:AA603"/>
    <mergeCell ref="B605:E606"/>
    <mergeCell ref="F605:I606"/>
    <mergeCell ref="J605:M606"/>
    <mergeCell ref="T605:W606"/>
    <mergeCell ref="X605:AA606"/>
    <mergeCell ref="B602:E602"/>
    <mergeCell ref="F602:I602"/>
    <mergeCell ref="J602:M602"/>
    <mergeCell ref="T602:W602"/>
    <mergeCell ref="X602:AA602"/>
    <mergeCell ref="AB602:AE602"/>
    <mergeCell ref="AB574:AE575"/>
    <mergeCell ref="B590:E591"/>
    <mergeCell ref="F590:I591"/>
    <mergeCell ref="J590:M591"/>
    <mergeCell ref="T590:W591"/>
    <mergeCell ref="X590:AA591"/>
    <mergeCell ref="AB590:AE591"/>
    <mergeCell ref="B572:E572"/>
    <mergeCell ref="F572:I572"/>
    <mergeCell ref="T572:W572"/>
    <mergeCell ref="X572:AA572"/>
    <mergeCell ref="B574:E575"/>
    <mergeCell ref="F574:I575"/>
    <mergeCell ref="J574:M575"/>
    <mergeCell ref="T574:W575"/>
    <mergeCell ref="X574:AA575"/>
    <mergeCell ref="B571:E571"/>
    <mergeCell ref="F571:I571"/>
    <mergeCell ref="J571:M571"/>
    <mergeCell ref="T571:W571"/>
    <mergeCell ref="X571:AA571"/>
    <mergeCell ref="AB571:AE571"/>
    <mergeCell ref="AB543:AE544"/>
    <mergeCell ref="B559:E560"/>
    <mergeCell ref="F559:I560"/>
    <mergeCell ref="J559:M560"/>
    <mergeCell ref="T559:W560"/>
    <mergeCell ref="X559:AA560"/>
    <mergeCell ref="AB559:AE560"/>
    <mergeCell ref="B541:E541"/>
    <mergeCell ref="F541:I541"/>
    <mergeCell ref="T541:W541"/>
    <mergeCell ref="X541:AA541"/>
    <mergeCell ref="B543:E544"/>
    <mergeCell ref="F543:I544"/>
    <mergeCell ref="J543:M544"/>
    <mergeCell ref="T543:W544"/>
    <mergeCell ref="X543:AA544"/>
    <mergeCell ref="B540:E540"/>
    <mergeCell ref="F540:I540"/>
    <mergeCell ref="J540:M540"/>
    <mergeCell ref="T540:W540"/>
    <mergeCell ref="X540:AA540"/>
    <mergeCell ref="AB540:AE540"/>
    <mergeCell ref="AB512:AE513"/>
    <mergeCell ref="B528:E529"/>
    <mergeCell ref="F528:I529"/>
    <mergeCell ref="J528:M529"/>
    <mergeCell ref="T528:W529"/>
    <mergeCell ref="X528:AA529"/>
    <mergeCell ref="AB528:AE529"/>
    <mergeCell ref="B510:E510"/>
    <mergeCell ref="F510:I510"/>
    <mergeCell ref="T510:W510"/>
    <mergeCell ref="X510:AA510"/>
    <mergeCell ref="B512:E513"/>
    <mergeCell ref="F512:I513"/>
    <mergeCell ref="J512:M513"/>
    <mergeCell ref="T512:W513"/>
    <mergeCell ref="X512:AA513"/>
    <mergeCell ref="B509:E509"/>
    <mergeCell ref="F509:I509"/>
    <mergeCell ref="J509:M509"/>
    <mergeCell ref="T509:W509"/>
    <mergeCell ref="X509:AA509"/>
    <mergeCell ref="AB509:AE509"/>
    <mergeCell ref="AB481:AE482"/>
    <mergeCell ref="B497:E498"/>
    <mergeCell ref="F497:I498"/>
    <mergeCell ref="J497:M498"/>
    <mergeCell ref="T497:W498"/>
    <mergeCell ref="X497:AA498"/>
    <mergeCell ref="AB497:AE498"/>
    <mergeCell ref="B479:E479"/>
    <mergeCell ref="F479:I479"/>
    <mergeCell ref="T479:W479"/>
    <mergeCell ref="X479:AA479"/>
    <mergeCell ref="B481:E482"/>
    <mergeCell ref="F481:I482"/>
    <mergeCell ref="J481:M482"/>
    <mergeCell ref="T481:W482"/>
    <mergeCell ref="X481:AA482"/>
    <mergeCell ref="B478:E478"/>
    <mergeCell ref="F478:I478"/>
    <mergeCell ref="J478:M478"/>
    <mergeCell ref="T478:W478"/>
    <mergeCell ref="X478:AA478"/>
    <mergeCell ref="AB478:AE478"/>
    <mergeCell ref="AB450:AE451"/>
    <mergeCell ref="B466:E467"/>
    <mergeCell ref="F466:I467"/>
    <mergeCell ref="J466:M467"/>
    <mergeCell ref="T466:W467"/>
    <mergeCell ref="X466:AA467"/>
    <mergeCell ref="AB466:AE467"/>
    <mergeCell ref="B448:E448"/>
    <mergeCell ref="F448:I448"/>
    <mergeCell ref="T448:W448"/>
    <mergeCell ref="X448:AA448"/>
    <mergeCell ref="B450:E451"/>
    <mergeCell ref="F450:I451"/>
    <mergeCell ref="J450:M451"/>
    <mergeCell ref="T450:W451"/>
    <mergeCell ref="X450:AA451"/>
    <mergeCell ref="B447:E447"/>
    <mergeCell ref="F447:I447"/>
    <mergeCell ref="J447:M447"/>
    <mergeCell ref="T447:W447"/>
    <mergeCell ref="X447:AA447"/>
    <mergeCell ref="AB447:AE447"/>
    <mergeCell ref="AB419:AE420"/>
    <mergeCell ref="B435:E436"/>
    <mergeCell ref="F435:I436"/>
    <mergeCell ref="J435:M436"/>
    <mergeCell ref="T435:W436"/>
    <mergeCell ref="X435:AA436"/>
    <mergeCell ref="AB435:AE436"/>
    <mergeCell ref="B417:E417"/>
    <mergeCell ref="F417:I417"/>
    <mergeCell ref="T417:W417"/>
    <mergeCell ref="X417:AA417"/>
    <mergeCell ref="B419:E420"/>
    <mergeCell ref="F419:I420"/>
    <mergeCell ref="J419:M420"/>
    <mergeCell ref="T419:W420"/>
    <mergeCell ref="X419:AA420"/>
    <mergeCell ref="B416:E416"/>
    <mergeCell ref="F416:I416"/>
    <mergeCell ref="J416:M416"/>
    <mergeCell ref="T416:W416"/>
    <mergeCell ref="X416:AA416"/>
    <mergeCell ref="AB416:AE416"/>
    <mergeCell ref="AB388:AE389"/>
    <mergeCell ref="B404:E405"/>
    <mergeCell ref="F404:I405"/>
    <mergeCell ref="J404:M405"/>
    <mergeCell ref="T404:W405"/>
    <mergeCell ref="X404:AA405"/>
    <mergeCell ref="AB404:AE405"/>
    <mergeCell ref="B386:E386"/>
    <mergeCell ref="F386:I386"/>
    <mergeCell ref="T386:W386"/>
    <mergeCell ref="X386:AA386"/>
    <mergeCell ref="B388:E389"/>
    <mergeCell ref="F388:I389"/>
    <mergeCell ref="J388:M389"/>
    <mergeCell ref="T388:W389"/>
    <mergeCell ref="X388:AA389"/>
    <mergeCell ref="B385:E385"/>
    <mergeCell ref="F385:I385"/>
    <mergeCell ref="J385:M385"/>
    <mergeCell ref="T385:W385"/>
    <mergeCell ref="X385:AA385"/>
    <mergeCell ref="AB385:AE385"/>
    <mergeCell ref="AB357:AE358"/>
    <mergeCell ref="B373:E374"/>
    <mergeCell ref="F373:I374"/>
    <mergeCell ref="J373:M374"/>
    <mergeCell ref="T373:W374"/>
    <mergeCell ref="X373:AA374"/>
    <mergeCell ref="AB373:AE374"/>
    <mergeCell ref="B355:E355"/>
    <mergeCell ref="F355:I355"/>
    <mergeCell ref="T355:W355"/>
    <mergeCell ref="X355:AA355"/>
    <mergeCell ref="B357:E358"/>
    <mergeCell ref="F357:I358"/>
    <mergeCell ref="J357:M358"/>
    <mergeCell ref="T357:W358"/>
    <mergeCell ref="X357:AA358"/>
    <mergeCell ref="B354:E354"/>
    <mergeCell ref="F354:I354"/>
    <mergeCell ref="J354:M354"/>
    <mergeCell ref="T354:W354"/>
    <mergeCell ref="X354:AA354"/>
    <mergeCell ref="AB354:AE354"/>
    <mergeCell ref="AB326:AE327"/>
    <mergeCell ref="B342:E343"/>
    <mergeCell ref="F342:I343"/>
    <mergeCell ref="J342:M343"/>
    <mergeCell ref="T342:W343"/>
    <mergeCell ref="X342:AA343"/>
    <mergeCell ref="AB342:AE343"/>
    <mergeCell ref="B324:E324"/>
    <mergeCell ref="F324:I324"/>
    <mergeCell ref="T324:W324"/>
    <mergeCell ref="X324:AA324"/>
    <mergeCell ref="B326:E327"/>
    <mergeCell ref="F326:I327"/>
    <mergeCell ref="J326:M327"/>
    <mergeCell ref="T326:W327"/>
    <mergeCell ref="X326:AA327"/>
    <mergeCell ref="B323:E323"/>
    <mergeCell ref="F323:I323"/>
    <mergeCell ref="J323:M323"/>
    <mergeCell ref="T323:W323"/>
    <mergeCell ref="X323:AA323"/>
    <mergeCell ref="AB323:AE323"/>
    <mergeCell ref="AB295:AE296"/>
    <mergeCell ref="B311:E312"/>
    <mergeCell ref="F311:I312"/>
    <mergeCell ref="J311:M312"/>
    <mergeCell ref="T311:W312"/>
    <mergeCell ref="X311:AA312"/>
    <mergeCell ref="AB311:AE312"/>
    <mergeCell ref="B293:E293"/>
    <mergeCell ref="F293:I293"/>
    <mergeCell ref="T293:W293"/>
    <mergeCell ref="X293:AA293"/>
    <mergeCell ref="B295:E296"/>
    <mergeCell ref="F295:I296"/>
    <mergeCell ref="J295:M296"/>
    <mergeCell ref="T295:W296"/>
    <mergeCell ref="X295:AA296"/>
    <mergeCell ref="B292:E292"/>
    <mergeCell ref="F292:I292"/>
    <mergeCell ref="J292:M292"/>
    <mergeCell ref="T292:W292"/>
    <mergeCell ref="X292:AA292"/>
    <mergeCell ref="AB292:AE292"/>
    <mergeCell ref="AB264:AE265"/>
    <mergeCell ref="B280:E281"/>
    <mergeCell ref="F280:I281"/>
    <mergeCell ref="J280:M281"/>
    <mergeCell ref="T280:W281"/>
    <mergeCell ref="X280:AA281"/>
    <mergeCell ref="AB280:AE281"/>
    <mergeCell ref="B262:E262"/>
    <mergeCell ref="F262:I262"/>
    <mergeCell ref="T262:W262"/>
    <mergeCell ref="X262:AA262"/>
    <mergeCell ref="B264:E265"/>
    <mergeCell ref="F264:I265"/>
    <mergeCell ref="J264:M265"/>
    <mergeCell ref="T264:W265"/>
    <mergeCell ref="X264:AA265"/>
    <mergeCell ref="B261:E261"/>
    <mergeCell ref="F261:I261"/>
    <mergeCell ref="J261:M261"/>
    <mergeCell ref="T261:W261"/>
    <mergeCell ref="X261:AA261"/>
    <mergeCell ref="AB261:AE261"/>
    <mergeCell ref="AB233:AE234"/>
    <mergeCell ref="B249:E250"/>
    <mergeCell ref="F249:I250"/>
    <mergeCell ref="J249:M250"/>
    <mergeCell ref="T249:W250"/>
    <mergeCell ref="X249:AA250"/>
    <mergeCell ref="AB249:AE250"/>
    <mergeCell ref="B231:E231"/>
    <mergeCell ref="F231:I231"/>
    <mergeCell ref="T231:W231"/>
    <mergeCell ref="X231:AA231"/>
    <mergeCell ref="B233:E234"/>
    <mergeCell ref="F233:I234"/>
    <mergeCell ref="J233:M234"/>
    <mergeCell ref="T233:W234"/>
    <mergeCell ref="X233:AA234"/>
    <mergeCell ref="B230:E230"/>
    <mergeCell ref="F230:I230"/>
    <mergeCell ref="J230:M230"/>
    <mergeCell ref="T230:W230"/>
    <mergeCell ref="X230:AA230"/>
    <mergeCell ref="AB230:AE230"/>
    <mergeCell ref="AB202:AE203"/>
    <mergeCell ref="B218:E219"/>
    <mergeCell ref="F218:I219"/>
    <mergeCell ref="J218:M219"/>
    <mergeCell ref="T218:W219"/>
    <mergeCell ref="X218:AA219"/>
    <mergeCell ref="AB218:AE219"/>
    <mergeCell ref="B200:E200"/>
    <mergeCell ref="F200:I200"/>
    <mergeCell ref="T200:W200"/>
    <mergeCell ref="X200:AA200"/>
    <mergeCell ref="B202:E203"/>
    <mergeCell ref="F202:I203"/>
    <mergeCell ref="J202:M203"/>
    <mergeCell ref="T202:W203"/>
    <mergeCell ref="X202:AA203"/>
    <mergeCell ref="B199:E199"/>
    <mergeCell ref="F199:I199"/>
    <mergeCell ref="J199:M199"/>
    <mergeCell ref="T199:W199"/>
    <mergeCell ref="X199:AA199"/>
    <mergeCell ref="AB199:AE199"/>
    <mergeCell ref="AB171:AE172"/>
    <mergeCell ref="B187:E188"/>
    <mergeCell ref="F187:I188"/>
    <mergeCell ref="J187:M188"/>
    <mergeCell ref="T187:W188"/>
    <mergeCell ref="X187:AA188"/>
    <mergeCell ref="AB187:AE188"/>
    <mergeCell ref="B169:E169"/>
    <mergeCell ref="F169:I169"/>
    <mergeCell ref="T169:W169"/>
    <mergeCell ref="X169:AA169"/>
    <mergeCell ref="B171:E172"/>
    <mergeCell ref="F171:I172"/>
    <mergeCell ref="J171:M172"/>
    <mergeCell ref="T171:W172"/>
    <mergeCell ref="X171:AA172"/>
    <mergeCell ref="B168:E168"/>
    <mergeCell ref="F168:I168"/>
    <mergeCell ref="J168:M168"/>
    <mergeCell ref="T168:W168"/>
    <mergeCell ref="X168:AA168"/>
    <mergeCell ref="AB168:AE168"/>
    <mergeCell ref="AB140:AE141"/>
    <mergeCell ref="B156:E157"/>
    <mergeCell ref="F156:I157"/>
    <mergeCell ref="J156:M157"/>
    <mergeCell ref="T156:W157"/>
    <mergeCell ref="X156:AA157"/>
    <mergeCell ref="AB156:AE157"/>
    <mergeCell ref="B138:E138"/>
    <mergeCell ref="F138:I138"/>
    <mergeCell ref="T138:W138"/>
    <mergeCell ref="X138:AA138"/>
    <mergeCell ref="B140:E141"/>
    <mergeCell ref="F140:I141"/>
    <mergeCell ref="J140:M141"/>
    <mergeCell ref="T140:W141"/>
    <mergeCell ref="X140:AA141"/>
    <mergeCell ref="B137:E137"/>
    <mergeCell ref="F137:I137"/>
    <mergeCell ref="J137:M137"/>
    <mergeCell ref="T137:W137"/>
    <mergeCell ref="X137:AA137"/>
    <mergeCell ref="AB137:AE137"/>
    <mergeCell ref="AB109:AE110"/>
    <mergeCell ref="B125:E126"/>
    <mergeCell ref="F125:I126"/>
    <mergeCell ref="J125:M126"/>
    <mergeCell ref="T125:W126"/>
    <mergeCell ref="X125:AA126"/>
    <mergeCell ref="AB125:AE126"/>
    <mergeCell ref="B107:E107"/>
    <mergeCell ref="F107:I107"/>
    <mergeCell ref="T107:W107"/>
    <mergeCell ref="X107:AA107"/>
    <mergeCell ref="B109:E110"/>
    <mergeCell ref="F109:I110"/>
    <mergeCell ref="J109:M110"/>
    <mergeCell ref="T109:W110"/>
    <mergeCell ref="X109:AA110"/>
    <mergeCell ref="B106:E106"/>
    <mergeCell ref="F106:I106"/>
    <mergeCell ref="J106:M106"/>
    <mergeCell ref="T106:W106"/>
    <mergeCell ref="X106:AA106"/>
    <mergeCell ref="AB106:AE106"/>
    <mergeCell ref="AB78:AE79"/>
    <mergeCell ref="B94:E95"/>
    <mergeCell ref="F94:I95"/>
    <mergeCell ref="J94:M95"/>
    <mergeCell ref="T94:W95"/>
    <mergeCell ref="X94:AA95"/>
    <mergeCell ref="AB94:AE95"/>
    <mergeCell ref="B76:E76"/>
    <mergeCell ref="F76:I76"/>
    <mergeCell ref="T76:W76"/>
    <mergeCell ref="X76:AA76"/>
    <mergeCell ref="B78:E79"/>
    <mergeCell ref="F78:I79"/>
    <mergeCell ref="J78:M79"/>
    <mergeCell ref="T78:W79"/>
    <mergeCell ref="X78:AA79"/>
    <mergeCell ref="B75:E75"/>
    <mergeCell ref="F75:I75"/>
    <mergeCell ref="J75:M75"/>
    <mergeCell ref="T75:W75"/>
    <mergeCell ref="X75:AA75"/>
    <mergeCell ref="AB75:AE75"/>
    <mergeCell ref="B63:E64"/>
    <mergeCell ref="F63:I64"/>
    <mergeCell ref="J63:M64"/>
    <mergeCell ref="T63:W64"/>
    <mergeCell ref="X63:AA64"/>
    <mergeCell ref="AB63:AE64"/>
    <mergeCell ref="B47:E48"/>
    <mergeCell ref="F47:I48"/>
    <mergeCell ref="J47:M48"/>
    <mergeCell ref="T47:W48"/>
    <mergeCell ref="X47:AA48"/>
    <mergeCell ref="AB47:AE48"/>
    <mergeCell ref="AB44:AE44"/>
    <mergeCell ref="AI44:AL45"/>
    <mergeCell ref="AM44:AP45"/>
    <mergeCell ref="AQ44:AT45"/>
    <mergeCell ref="B45:E45"/>
    <mergeCell ref="F45:I45"/>
    <mergeCell ref="T45:W45"/>
    <mergeCell ref="X45:AA45"/>
    <mergeCell ref="AI41:AL41"/>
    <mergeCell ref="AM41:AP41"/>
    <mergeCell ref="AQ41:AT41"/>
    <mergeCell ref="AI42:AL42"/>
    <mergeCell ref="AM42:AP42"/>
    <mergeCell ref="B44:E44"/>
    <mergeCell ref="F44:I44"/>
    <mergeCell ref="J44:M44"/>
    <mergeCell ref="T44:W44"/>
    <mergeCell ref="X44:AA44"/>
    <mergeCell ref="B32:E33"/>
    <mergeCell ref="F32:I33"/>
    <mergeCell ref="J32:M33"/>
    <mergeCell ref="T32:W33"/>
    <mergeCell ref="X32:AA33"/>
    <mergeCell ref="AB32:AE33"/>
    <mergeCell ref="AI16:AL17"/>
    <mergeCell ref="AM16:AP17"/>
    <mergeCell ref="AQ16:AT17"/>
    <mergeCell ref="AI29:AL30"/>
    <mergeCell ref="AM29:AP30"/>
    <mergeCell ref="AQ29:AT30"/>
    <mergeCell ref="B16:E17"/>
    <mergeCell ref="F16:I17"/>
    <mergeCell ref="J16:M17"/>
    <mergeCell ref="T16:W17"/>
    <mergeCell ref="X16:AA17"/>
    <mergeCell ref="AB16:AE17"/>
    <mergeCell ref="AM13:AP13"/>
    <mergeCell ref="AQ13:AT13"/>
    <mergeCell ref="B14:E14"/>
    <mergeCell ref="F14:I14"/>
    <mergeCell ref="T14:W14"/>
    <mergeCell ref="X14:AA14"/>
    <mergeCell ref="AI14:AL14"/>
    <mergeCell ref="AM14:AP14"/>
    <mergeCell ref="AI1:AL2"/>
    <mergeCell ref="AM1:AP2"/>
    <mergeCell ref="AQ1:AT2"/>
    <mergeCell ref="B13:E13"/>
    <mergeCell ref="F13:I13"/>
    <mergeCell ref="J13:M13"/>
    <mergeCell ref="T13:W13"/>
    <mergeCell ref="X13:AA13"/>
    <mergeCell ref="AB13:AE13"/>
    <mergeCell ref="AI13:AL13"/>
    <mergeCell ref="B1:E2"/>
    <mergeCell ref="F1:I2"/>
    <mergeCell ref="J1:M2"/>
    <mergeCell ref="T1:W2"/>
    <mergeCell ref="X1:AA2"/>
    <mergeCell ref="AB1:A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2E30D-7950-49C1-AC70-64C2DFAEDA1F}">
  <dimension ref="A1:AT1173"/>
  <sheetViews>
    <sheetView topLeftCell="A233" zoomScale="25" zoomScaleNormal="25" workbookViewId="0">
      <selection activeCell="O276" sqref="O276"/>
    </sheetView>
  </sheetViews>
  <sheetFormatPr baseColWidth="10" defaultColWidth="13" defaultRowHeight="14.4" x14ac:dyDescent="0.3"/>
  <cols>
    <col min="1" max="16384" width="13" style="1"/>
  </cols>
  <sheetData>
    <row r="1" spans="1:46" x14ac:dyDescent="0.3">
      <c r="B1" s="8" t="s">
        <v>4</v>
      </c>
      <c r="C1" s="8"/>
      <c r="D1" s="8"/>
      <c r="E1" s="8"/>
      <c r="F1" s="8" t="s">
        <v>5</v>
      </c>
      <c r="G1" s="8"/>
      <c r="H1" s="8"/>
      <c r="I1" s="8"/>
      <c r="J1" s="8" t="s">
        <v>6</v>
      </c>
      <c r="K1" s="8"/>
      <c r="L1" s="8"/>
      <c r="M1" s="8"/>
      <c r="T1" s="8" t="s">
        <v>4</v>
      </c>
      <c r="U1" s="8"/>
      <c r="V1" s="8"/>
      <c r="W1" s="8"/>
      <c r="X1" s="8" t="s">
        <v>5</v>
      </c>
      <c r="Y1" s="8"/>
      <c r="Z1" s="8"/>
      <c r="AA1" s="8"/>
      <c r="AB1" s="8" t="s">
        <v>6</v>
      </c>
      <c r="AC1" s="8"/>
      <c r="AD1" s="8"/>
      <c r="AE1" s="8"/>
      <c r="AI1" s="8" t="s">
        <v>4</v>
      </c>
      <c r="AJ1" s="8"/>
      <c r="AK1" s="8"/>
      <c r="AL1" s="8"/>
      <c r="AM1" s="8" t="s">
        <v>5</v>
      </c>
      <c r="AN1" s="8"/>
      <c r="AO1" s="8"/>
      <c r="AP1" s="8"/>
      <c r="AQ1" s="8" t="s">
        <v>6</v>
      </c>
      <c r="AR1" s="8"/>
      <c r="AS1" s="8"/>
      <c r="AT1" s="8"/>
    </row>
    <row r="2" spans="1:46" x14ac:dyDescent="0.3"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</row>
    <row r="3" spans="1:46" x14ac:dyDescent="0.3">
      <c r="B3" s="3" t="s">
        <v>0</v>
      </c>
      <c r="C3" s="3" t="s">
        <v>1</v>
      </c>
      <c r="D3" s="3" t="s">
        <v>2</v>
      </c>
      <c r="E3" s="3" t="s">
        <v>3</v>
      </c>
      <c r="F3" s="3" t="s">
        <v>0</v>
      </c>
      <c r="G3" s="3" t="s">
        <v>1</v>
      </c>
      <c r="H3" s="3" t="s">
        <v>2</v>
      </c>
      <c r="I3" s="3" t="s">
        <v>3</v>
      </c>
      <c r="J3" s="3" t="s">
        <v>0</v>
      </c>
      <c r="K3" s="3" t="s">
        <v>1</v>
      </c>
      <c r="L3" s="3" t="s">
        <v>2</v>
      </c>
      <c r="M3" s="3" t="s">
        <v>3</v>
      </c>
      <c r="T3" s="3" t="s">
        <v>0</v>
      </c>
      <c r="U3" s="3" t="s">
        <v>1</v>
      </c>
      <c r="V3" s="3" t="s">
        <v>2</v>
      </c>
      <c r="W3" s="3" t="s">
        <v>3</v>
      </c>
      <c r="X3" s="3" t="s">
        <v>0</v>
      </c>
      <c r="Y3" s="3" t="s">
        <v>1</v>
      </c>
      <c r="Z3" s="3" t="s">
        <v>2</v>
      </c>
      <c r="AA3" s="3" t="s">
        <v>3</v>
      </c>
      <c r="AB3" s="3" t="s">
        <v>0</v>
      </c>
      <c r="AC3" s="3" t="s">
        <v>1</v>
      </c>
      <c r="AD3" s="3" t="s">
        <v>2</v>
      </c>
      <c r="AE3" s="3" t="s">
        <v>3</v>
      </c>
      <c r="AI3" s="3" t="s">
        <v>0</v>
      </c>
      <c r="AJ3" s="3" t="s">
        <v>1</v>
      </c>
      <c r="AK3" s="3" t="s">
        <v>2</v>
      </c>
      <c r="AL3" s="3" t="s">
        <v>3</v>
      </c>
      <c r="AM3" s="3" t="s">
        <v>0</v>
      </c>
      <c r="AN3" s="3" t="s">
        <v>1</v>
      </c>
      <c r="AO3" s="3" t="s">
        <v>2</v>
      </c>
      <c r="AP3" s="3" t="s">
        <v>3</v>
      </c>
      <c r="AQ3" s="3" t="s">
        <v>0</v>
      </c>
      <c r="AR3" s="3" t="s">
        <v>1</v>
      </c>
      <c r="AS3" s="3" t="s">
        <v>2</v>
      </c>
      <c r="AT3" s="3" t="s">
        <v>3</v>
      </c>
    </row>
    <row r="4" spans="1:46" x14ac:dyDescent="0.3">
      <c r="B4" s="3">
        <f>$O$18</f>
        <v>0.1</v>
      </c>
      <c r="C4" s="3">
        <v>0.1</v>
      </c>
      <c r="D4" s="3">
        <f>B4*C4+B5*C5</f>
        <v>3.0000000000000006E-2</v>
      </c>
      <c r="E4" s="3">
        <f>1/(1+EXP(-D4))</f>
        <v>0.50749943755062032</v>
      </c>
      <c r="F4" s="3">
        <f>E4</f>
        <v>0.50749943755062032</v>
      </c>
      <c r="G4" s="3">
        <v>0.1</v>
      </c>
      <c r="H4" s="3">
        <f>F4*G4+F5*G5</f>
        <v>0.15424851528833999</v>
      </c>
      <c r="I4" s="3">
        <f>1/(1+EXP(-H4))</f>
        <v>0.53848585250828462</v>
      </c>
      <c r="J4" s="3">
        <f>I4</f>
        <v>0.53848585250828462</v>
      </c>
      <c r="K4" s="3">
        <v>0.1</v>
      </c>
      <c r="L4" s="3">
        <f>J4*K4+J5*K5</f>
        <v>0.17162021236371297</v>
      </c>
      <c r="M4" s="3">
        <f>1/(1+EXP(-L4))</f>
        <v>0.54280005368464279</v>
      </c>
      <c r="T4" s="3">
        <f>$O$19</f>
        <v>0.2</v>
      </c>
      <c r="U4" s="3">
        <f>C4</f>
        <v>0.1</v>
      </c>
      <c r="V4" s="3">
        <f>T4*U4+T5*U5</f>
        <v>6.0000000000000012E-2</v>
      </c>
      <c r="W4" s="3">
        <f>1/(1+EXP(-V4))</f>
        <v>0.51499550161940999</v>
      </c>
      <c r="X4" s="3">
        <f>W4</f>
        <v>0.51499550161940999</v>
      </c>
      <c r="Y4" s="3">
        <f>G4</f>
        <v>0.1</v>
      </c>
      <c r="Z4" s="3">
        <f>X4*Y4+X5*Y5</f>
        <v>0.1584881391935839</v>
      </c>
      <c r="AA4" s="3">
        <f>1/(1+EXP(-Z4))</f>
        <v>0.53953930545452522</v>
      </c>
      <c r="AB4" s="3">
        <f>AA4</f>
        <v>0.53953930545452522</v>
      </c>
      <c r="AC4" s="3">
        <f>K4</f>
        <v>0.1</v>
      </c>
      <c r="AD4" s="3">
        <f>AB4*AC4+AB5*AC5</f>
        <v>0.17217205726535745</v>
      </c>
      <c r="AE4" s="3">
        <f>1/(1+EXP(-AD4))</f>
        <v>0.54293700077792573</v>
      </c>
      <c r="AI4" s="3">
        <f>$O$18</f>
        <v>0.1</v>
      </c>
      <c r="AJ4" s="3">
        <v>0.1</v>
      </c>
      <c r="AK4" s="3">
        <f>AI4*AJ4+AI5*AJ5</f>
        <v>3.0000000000000006E-2</v>
      </c>
      <c r="AL4" s="3">
        <f>1/(1+EXP(-AK4))</f>
        <v>0.50749943755062032</v>
      </c>
      <c r="AM4" s="3">
        <f>AL4</f>
        <v>0.50749943755062032</v>
      </c>
      <c r="AN4" s="3">
        <v>0.1</v>
      </c>
      <c r="AO4" s="3">
        <f>AM4*AN4+AM5*AN5</f>
        <v>0.15424851528833999</v>
      </c>
      <c r="AP4" s="3">
        <f>1/(1+EXP(-AO4))</f>
        <v>0.53848585250828462</v>
      </c>
      <c r="AQ4" s="3">
        <f>AP4</f>
        <v>0.53848585250828462</v>
      </c>
      <c r="AR4" s="3">
        <v>0.1</v>
      </c>
      <c r="AS4" s="3">
        <f>AQ4*AR4+AQ5*AR5</f>
        <v>0.17162021236371297</v>
      </c>
      <c r="AT4" s="3">
        <f>1/(1+EXP(-AS4))</f>
        <v>0.54280005368464279</v>
      </c>
    </row>
    <row r="5" spans="1:46" x14ac:dyDescent="0.3">
      <c r="B5" s="3">
        <f t="shared" ref="B5:B11" si="0">$O$18</f>
        <v>0.1</v>
      </c>
      <c r="C5" s="3">
        <v>0.2</v>
      </c>
      <c r="D5" s="3">
        <f>B4*C6+B5*C7</f>
        <v>7.0000000000000007E-2</v>
      </c>
      <c r="E5" s="3">
        <f>1/(1+EXP(-D5))</f>
        <v>0.51749285766638975</v>
      </c>
      <c r="F5" s="3">
        <f>E5</f>
        <v>0.51749285766638975</v>
      </c>
      <c r="G5" s="3">
        <v>0.2</v>
      </c>
      <c r="H5" s="3">
        <f>F4*G6+F5*G7</f>
        <v>0.35924697433174202</v>
      </c>
      <c r="I5" s="3">
        <f>1/(1+EXP(-H5))</f>
        <v>0.58885813556442246</v>
      </c>
      <c r="J5" s="3">
        <f>I5</f>
        <v>0.58885813556442246</v>
      </c>
      <c r="K5" s="3">
        <v>0.2</v>
      </c>
      <c r="L5" s="3"/>
      <c r="M5" s="3"/>
      <c r="T5" s="3">
        <f>$O$19</f>
        <v>0.2</v>
      </c>
      <c r="U5" s="3">
        <f t="shared" ref="U5:U7" si="1">C5</f>
        <v>0.2</v>
      </c>
      <c r="V5" s="3">
        <f>T4*U6+T5*U7</f>
        <v>0.14000000000000001</v>
      </c>
      <c r="W5" s="3">
        <f>1/(1+EXP(-V5))</f>
        <v>0.5349429451582145</v>
      </c>
      <c r="X5" s="3">
        <f>W5</f>
        <v>0.5349429451582145</v>
      </c>
      <c r="Y5" s="3">
        <f t="shared" ref="Y5:Y7" si="2">G5</f>
        <v>0.2</v>
      </c>
      <c r="Z5" s="3">
        <f>X4*Y6+X5*Y7</f>
        <v>0.36847582854910876</v>
      </c>
      <c r="AA5" s="3">
        <f>1/(1+EXP(-Z5))</f>
        <v>0.59109063359952452</v>
      </c>
      <c r="AB5" s="3">
        <f>AA5</f>
        <v>0.59109063359952452</v>
      </c>
      <c r="AC5" s="3">
        <f>K5</f>
        <v>0.2</v>
      </c>
      <c r="AD5" s="3"/>
      <c r="AE5" s="3"/>
      <c r="AI5" s="3">
        <f t="shared" ref="AI5:AI11" si="3">$O$18</f>
        <v>0.1</v>
      </c>
      <c r="AJ5" s="3">
        <v>0.2</v>
      </c>
      <c r="AK5" s="3">
        <f>AI4*AJ6+AI5*AJ7</f>
        <v>7.0000000000000007E-2</v>
      </c>
      <c r="AL5" s="3">
        <f>1/(1+EXP(-AK5))</f>
        <v>0.51749285766638975</v>
      </c>
      <c r="AM5" s="3">
        <f>AL5</f>
        <v>0.51749285766638975</v>
      </c>
      <c r="AN5" s="3">
        <v>0.2</v>
      </c>
      <c r="AO5" s="3">
        <f>AM4*AN6+AM5*AN7</f>
        <v>0.35924697433174202</v>
      </c>
      <c r="AP5" s="3">
        <f>1/(1+EXP(-AO5))</f>
        <v>0.58885813556442246</v>
      </c>
      <c r="AQ5" s="3">
        <f>AP5</f>
        <v>0.58885813556442246</v>
      </c>
      <c r="AR5" s="3">
        <v>0.2</v>
      </c>
      <c r="AS5" s="3"/>
      <c r="AT5" s="3"/>
    </row>
    <row r="6" spans="1:46" x14ac:dyDescent="0.3">
      <c r="B6" s="3">
        <f t="shared" si="0"/>
        <v>0.1</v>
      </c>
      <c r="C6" s="3">
        <v>0.3</v>
      </c>
      <c r="D6" s="3"/>
      <c r="E6" s="3"/>
      <c r="F6" s="3"/>
      <c r="G6" s="3">
        <v>0.3</v>
      </c>
      <c r="H6" s="3"/>
      <c r="I6" s="3"/>
      <c r="J6" s="3"/>
      <c r="K6" s="3"/>
      <c r="L6" s="3"/>
      <c r="M6" s="3"/>
      <c r="O6" s="2" t="s">
        <v>9</v>
      </c>
      <c r="Q6" s="1">
        <f>$P$18-M4</f>
        <v>-0.14280005368464277</v>
      </c>
      <c r="R6" s="1">
        <f>$P$19 - AE4</f>
        <v>-4.2937000777925727E-2</v>
      </c>
      <c r="T6" s="3">
        <f t="shared" ref="T6:T11" si="4">$O$19</f>
        <v>0.2</v>
      </c>
      <c r="U6" s="3">
        <f t="shared" si="1"/>
        <v>0.3</v>
      </c>
      <c r="V6" s="3"/>
      <c r="W6" s="3"/>
      <c r="X6" s="3"/>
      <c r="Y6" s="3">
        <f t="shared" si="2"/>
        <v>0.3</v>
      </c>
      <c r="Z6" s="3"/>
      <c r="AA6" s="3"/>
      <c r="AB6" s="3"/>
      <c r="AC6" s="3"/>
      <c r="AD6" s="3"/>
      <c r="AE6" s="3"/>
      <c r="AI6" s="3">
        <f t="shared" si="3"/>
        <v>0.1</v>
      </c>
      <c r="AJ6" s="3">
        <v>0.3</v>
      </c>
      <c r="AK6" s="3"/>
      <c r="AL6" s="3"/>
      <c r="AM6" s="3"/>
      <c r="AN6" s="3">
        <v>0.3</v>
      </c>
      <c r="AO6" s="3"/>
      <c r="AP6" s="3"/>
      <c r="AQ6" s="3"/>
      <c r="AR6" s="3"/>
      <c r="AS6" s="3"/>
      <c r="AT6" s="3"/>
    </row>
    <row r="7" spans="1:46" x14ac:dyDescent="0.3">
      <c r="B7" s="3">
        <f t="shared" si="0"/>
        <v>0.1</v>
      </c>
      <c r="C7" s="3">
        <v>0.4</v>
      </c>
      <c r="D7" s="3"/>
      <c r="E7" s="3"/>
      <c r="F7" s="3"/>
      <c r="G7" s="3">
        <v>0.4</v>
      </c>
      <c r="H7" s="3"/>
      <c r="I7" s="3"/>
      <c r="J7" s="3"/>
      <c r="K7" s="3"/>
      <c r="L7" s="3"/>
      <c r="M7" s="3"/>
      <c r="O7" s="3">
        <v>0.1</v>
      </c>
      <c r="Q7" s="1">
        <f>SUM(Q6,R6)</f>
        <v>-0.1857370544625685</v>
      </c>
      <c r="T7" s="3">
        <f t="shared" si="4"/>
        <v>0.2</v>
      </c>
      <c r="U7" s="3">
        <f t="shared" si="1"/>
        <v>0.4</v>
      </c>
      <c r="V7" s="3"/>
      <c r="W7" s="3"/>
      <c r="X7" s="3"/>
      <c r="Y7" s="3">
        <f t="shared" si="2"/>
        <v>0.4</v>
      </c>
      <c r="Z7" s="3"/>
      <c r="AA7" s="3"/>
      <c r="AB7" s="3"/>
      <c r="AC7" s="3"/>
      <c r="AD7" s="3"/>
      <c r="AE7" s="3"/>
      <c r="AI7" s="3">
        <f t="shared" si="3"/>
        <v>0.1</v>
      </c>
      <c r="AJ7" s="3">
        <v>0.4</v>
      </c>
      <c r="AK7" s="3"/>
      <c r="AL7" s="3"/>
      <c r="AM7" s="3"/>
      <c r="AN7" s="3">
        <v>0.4</v>
      </c>
      <c r="AO7" s="3"/>
      <c r="AP7" s="3"/>
      <c r="AQ7" s="3"/>
      <c r="AR7" s="3"/>
      <c r="AS7" s="3"/>
      <c r="AT7" s="3"/>
    </row>
    <row r="8" spans="1:46" x14ac:dyDescent="0.3">
      <c r="B8" s="3">
        <f t="shared" si="0"/>
        <v>0.1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T8" s="3">
        <f>$O$19</f>
        <v>0.2</v>
      </c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I8" s="3">
        <f t="shared" si="3"/>
        <v>0.1</v>
      </c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x14ac:dyDescent="0.3">
      <c r="B9" s="3">
        <f t="shared" si="0"/>
        <v>0.1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T9" s="3">
        <f t="shared" si="4"/>
        <v>0.2</v>
      </c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I9" s="3">
        <f t="shared" si="3"/>
        <v>0.1</v>
      </c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</row>
    <row r="10" spans="1:46" x14ac:dyDescent="0.3">
      <c r="B10" s="3">
        <f t="shared" si="0"/>
        <v>0.1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T10" s="3">
        <f t="shared" si="4"/>
        <v>0.2</v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I10" s="3">
        <f t="shared" si="3"/>
        <v>0.1</v>
      </c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</row>
    <row r="11" spans="1:46" x14ac:dyDescent="0.3">
      <c r="B11" s="3">
        <f t="shared" si="0"/>
        <v>0.1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T11" s="3">
        <f t="shared" si="4"/>
        <v>0.2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I11" s="3">
        <f t="shared" si="3"/>
        <v>0.1</v>
      </c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</row>
    <row r="13" spans="1:46" x14ac:dyDescent="0.3">
      <c r="A13" s="4" t="s">
        <v>7</v>
      </c>
      <c r="B13" s="5">
        <f>E4 * (1 - E4) * (G4 * F13 + G6 * F14)</f>
        <v>-7.8973609211648358E-4</v>
      </c>
      <c r="C13" s="6"/>
      <c r="D13" s="6"/>
      <c r="E13" s="7"/>
      <c r="F13" s="5">
        <f>I4 * (1 - I4) * K4 *J13</f>
        <v>-4.6159157163424254E-3</v>
      </c>
      <c r="G13" s="6"/>
      <c r="H13" s="6"/>
      <c r="I13" s="7"/>
      <c r="J13" s="5">
        <f>Q7</f>
        <v>-0.1857370544625685</v>
      </c>
      <c r="K13" s="6"/>
      <c r="L13" s="6"/>
      <c r="M13" s="7"/>
      <c r="S13" s="4" t="s">
        <v>7</v>
      </c>
      <c r="T13" s="5">
        <f>W4 * (1 - W4) * (Y4 * X13 + Y6 * X14)</f>
        <v>-7.8804691711541891E-4</v>
      </c>
      <c r="U13" s="6"/>
      <c r="V13" s="6"/>
      <c r="W13" s="7"/>
      <c r="X13" s="5">
        <f>AA4 * (1 - AA4) * AC4 *AB13</f>
        <v>-4.6143890351599765E-3</v>
      </c>
      <c r="Y13" s="6"/>
      <c r="Z13" s="6"/>
      <c r="AA13" s="7"/>
      <c r="AB13" s="5">
        <f>Q7</f>
        <v>-0.1857370544625685</v>
      </c>
      <c r="AC13" s="6"/>
      <c r="AD13" s="6"/>
      <c r="AE13" s="7"/>
      <c r="AH13" s="4" t="s">
        <v>7</v>
      </c>
      <c r="AI13" s="5">
        <f>AL4 * (1 - AL4) * (AN4 * AM13 + AN6 * AM14)</f>
        <v>-6.0717209432036728E-4</v>
      </c>
      <c r="AJ13" s="6"/>
      <c r="AK13" s="6"/>
      <c r="AL13" s="7"/>
      <c r="AM13" s="5">
        <f>AP4 * (1 - AP4) * AR4 *AQ13</f>
        <v>-3.5488503573223372E-3</v>
      </c>
      <c r="AN13" s="6"/>
      <c r="AO13" s="6"/>
      <c r="AP13" s="7"/>
      <c r="AQ13" s="5">
        <f>$P$18 - AT4</f>
        <v>-0.14280005368464277</v>
      </c>
      <c r="AR13" s="6"/>
      <c r="AS13" s="6"/>
      <c r="AT13" s="7"/>
    </row>
    <row r="14" spans="1:46" x14ac:dyDescent="0.3">
      <c r="B14" s="5">
        <f>E5 * (1 - E5) * (G5 * F13 + G7 * F14)</f>
        <v>-1.1287670190490153E-3</v>
      </c>
      <c r="C14" s="6"/>
      <c r="D14" s="6"/>
      <c r="E14" s="7"/>
      <c r="F14" s="5">
        <f>J5 * (1 - J5) * K5 * J13</f>
        <v>-8.9935453754112736E-3</v>
      </c>
      <c r="G14" s="6"/>
      <c r="H14" s="6"/>
      <c r="I14" s="7"/>
      <c r="T14" s="5">
        <f>W5 * (1 - W5) * (Y5 * X13 + Y7 * X14)</f>
        <v>-1.1230696115001459E-3</v>
      </c>
      <c r="U14" s="6"/>
      <c r="V14" s="6"/>
      <c r="W14" s="7"/>
      <c r="X14" s="5">
        <f>AB5 * (1 - AB5) * AC5 * AB13</f>
        <v>-8.9786219501336723E-3</v>
      </c>
      <c r="Y14" s="6"/>
      <c r="Z14" s="6"/>
      <c r="AA14" s="7"/>
      <c r="AI14" s="5">
        <f>AL5 * (1 - AL5) * (AN5 * AM13 + AN7 * AM14)</f>
        <v>-8.6782893905608751E-4</v>
      </c>
      <c r="AJ14" s="6"/>
      <c r="AK14" s="6"/>
      <c r="AL14" s="7"/>
      <c r="AM14" s="5">
        <f>AQ5 * (1 - AQ5) * AR5 * AQ13</f>
        <v>-6.9144994580648995E-3</v>
      </c>
      <c r="AN14" s="6"/>
      <c r="AO14" s="6"/>
      <c r="AP14" s="7"/>
    </row>
    <row r="16" spans="1:46" x14ac:dyDescent="0.3">
      <c r="B16" s="8" t="s">
        <v>4</v>
      </c>
      <c r="C16" s="8"/>
      <c r="D16" s="8"/>
      <c r="E16" s="8"/>
      <c r="F16" s="8" t="s">
        <v>5</v>
      </c>
      <c r="G16" s="8"/>
      <c r="H16" s="8"/>
      <c r="I16" s="8"/>
      <c r="J16" s="8" t="s">
        <v>6</v>
      </c>
      <c r="K16" s="8"/>
      <c r="L16" s="8"/>
      <c r="M16" s="8"/>
      <c r="T16" s="8" t="s">
        <v>4</v>
      </c>
      <c r="U16" s="8"/>
      <c r="V16" s="8"/>
      <c r="W16" s="8"/>
      <c r="X16" s="8" t="s">
        <v>5</v>
      </c>
      <c r="Y16" s="8"/>
      <c r="Z16" s="8"/>
      <c r="AA16" s="8"/>
      <c r="AB16" s="8" t="s">
        <v>6</v>
      </c>
      <c r="AC16" s="8"/>
      <c r="AD16" s="8"/>
      <c r="AE16" s="8"/>
      <c r="AI16" s="8" t="s">
        <v>4</v>
      </c>
      <c r="AJ16" s="8"/>
      <c r="AK16" s="8"/>
      <c r="AL16" s="8"/>
      <c r="AM16" s="8" t="s">
        <v>5</v>
      </c>
      <c r="AN16" s="8"/>
      <c r="AO16" s="8"/>
      <c r="AP16" s="8"/>
      <c r="AQ16" s="8" t="s">
        <v>6</v>
      </c>
      <c r="AR16" s="8"/>
      <c r="AS16" s="8"/>
      <c r="AT16" s="8"/>
    </row>
    <row r="17" spans="1:46" x14ac:dyDescent="0.3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O17" s="2" t="s">
        <v>0</v>
      </c>
      <c r="P17" s="2" t="s">
        <v>8</v>
      </c>
      <c r="Q17" s="2" t="s">
        <v>11</v>
      </c>
      <c r="R17" s="2" t="s">
        <v>10</v>
      </c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</row>
    <row r="18" spans="1:46" x14ac:dyDescent="0.3">
      <c r="B18" s="3" t="s">
        <v>0</v>
      </c>
      <c r="C18" s="3" t="s">
        <v>1</v>
      </c>
      <c r="D18" s="3" t="s">
        <v>2</v>
      </c>
      <c r="E18" s="3" t="s">
        <v>3</v>
      </c>
      <c r="F18" s="3" t="s">
        <v>0</v>
      </c>
      <c r="G18" s="3" t="s">
        <v>1</v>
      </c>
      <c r="H18" s="3" t="s">
        <v>2</v>
      </c>
      <c r="I18" s="3" t="s">
        <v>3</v>
      </c>
      <c r="J18" s="3" t="s">
        <v>0</v>
      </c>
      <c r="K18" s="3" t="s">
        <v>1</v>
      </c>
      <c r="L18" s="3" t="s">
        <v>2</v>
      </c>
      <c r="M18" s="3" t="s">
        <v>3</v>
      </c>
      <c r="O18" s="3">
        <v>0.1</v>
      </c>
      <c r="P18" s="3">
        <v>0.4</v>
      </c>
      <c r="Q18" s="3">
        <f>M1166</f>
        <v>0</v>
      </c>
      <c r="R18" s="3">
        <f>P18-Q18</f>
        <v>0.4</v>
      </c>
      <c r="T18" s="3" t="s">
        <v>0</v>
      </c>
      <c r="U18" s="3" t="s">
        <v>1</v>
      </c>
      <c r="V18" s="3" t="s">
        <v>2</v>
      </c>
      <c r="W18" s="3" t="s">
        <v>3</v>
      </c>
      <c r="X18" s="3" t="s">
        <v>0</v>
      </c>
      <c r="Y18" s="3" t="s">
        <v>1</v>
      </c>
      <c r="Z18" s="3" t="s">
        <v>2</v>
      </c>
      <c r="AA18" s="3" t="s">
        <v>3</v>
      </c>
      <c r="AB18" s="3" t="s">
        <v>0</v>
      </c>
      <c r="AC18" s="3" t="s">
        <v>1</v>
      </c>
      <c r="AD18" s="3" t="s">
        <v>2</v>
      </c>
      <c r="AE18" s="3" t="s">
        <v>3</v>
      </c>
      <c r="AI18" s="3" t="s">
        <v>0</v>
      </c>
      <c r="AJ18" s="3" t="s">
        <v>1</v>
      </c>
      <c r="AK18" s="3" t="s">
        <v>2</v>
      </c>
      <c r="AL18" s="3" t="s">
        <v>3</v>
      </c>
      <c r="AM18" s="3" t="s">
        <v>0</v>
      </c>
      <c r="AN18" s="3" t="s">
        <v>1</v>
      </c>
      <c r="AO18" s="3" t="s">
        <v>2</v>
      </c>
      <c r="AP18" s="3" t="s">
        <v>3</v>
      </c>
      <c r="AQ18" s="3" t="s">
        <v>0</v>
      </c>
      <c r="AR18" s="3" t="s">
        <v>1</v>
      </c>
      <c r="AS18" s="3" t="s">
        <v>2</v>
      </c>
      <c r="AT18" s="3" t="s">
        <v>3</v>
      </c>
    </row>
    <row r="19" spans="1:46" x14ac:dyDescent="0.3">
      <c r="B19" s="3">
        <f>$B$4</f>
        <v>0.1</v>
      </c>
      <c r="C19" s="3">
        <f>C4 + $O$7 * B4 * B13</f>
        <v>9.9992102639078845E-2</v>
      </c>
      <c r="D19" s="3">
        <f>B19*C19+B20*C20</f>
        <v>2.9998420527815768E-2</v>
      </c>
      <c r="E19" s="3">
        <f>1/(1+EXP(-D19))</f>
        <v>0.50749904277140168</v>
      </c>
      <c r="F19" s="3">
        <f>E19</f>
        <v>0.50749904277140168</v>
      </c>
      <c r="G19" s="3">
        <f>G4 + $O$7 * F4 * F13</f>
        <v>9.9765742537017518E-2</v>
      </c>
      <c r="H19" s="3">
        <f>F19*G19+F20*G20</f>
        <v>0.15400586407267261</v>
      </c>
      <c r="I19" s="3">
        <f>1/(1+EXP(-H19))</f>
        <v>0.53842554854698599</v>
      </c>
      <c r="J19" s="3">
        <f>I19</f>
        <v>0.53842554854698599</v>
      </c>
      <c r="K19" s="3">
        <f>K4 + $O$7 * J4 * J13</f>
        <v>8.9998322388534613E-2</v>
      </c>
      <c r="L19" s="3">
        <f>J19*K19+J20*K20</f>
        <v>0.15976687493870873</v>
      </c>
      <c r="M19" s="3">
        <f>1/(1+EXP(-L19))</f>
        <v>0.53985697416602318</v>
      </c>
      <c r="O19" s="3">
        <v>0.2</v>
      </c>
      <c r="P19" s="3">
        <v>0.5</v>
      </c>
      <c r="Q19" s="3">
        <f>AE1166</f>
        <v>0</v>
      </c>
      <c r="R19" s="3">
        <f>P19-Q19</f>
        <v>0.5</v>
      </c>
      <c r="T19" s="3">
        <f>$O$19</f>
        <v>0.2</v>
      </c>
      <c r="U19" s="3">
        <f>C19</f>
        <v>9.9992102639078845E-2</v>
      </c>
      <c r="V19" s="3">
        <f>T19*U19+T20*U20</f>
        <v>5.9996841055631536E-2</v>
      </c>
      <c r="W19" s="3">
        <f>1/(1+EXP(-V19))</f>
        <v>0.51499471259361673</v>
      </c>
      <c r="X19" s="3">
        <f>W19</f>
        <v>0.51499471259361673</v>
      </c>
      <c r="Y19" s="3">
        <f>G19</f>
        <v>9.9765742537017518E-2</v>
      </c>
      <c r="Z19" s="3">
        <f>X19*Y19+X20*Y20</f>
        <v>0.1582394125496619</v>
      </c>
      <c r="AA19" s="3">
        <f>1/(1+EXP(-Z19))</f>
        <v>0.53947751203461647</v>
      </c>
      <c r="AB19" s="3">
        <f>AA19</f>
        <v>0.53947751203461647</v>
      </c>
      <c r="AC19" s="3">
        <f>K19</f>
        <v>8.9998322388534613E-2</v>
      </c>
      <c r="AD19" s="3">
        <f>AB19*AC19+AB20*AC20</f>
        <v>0.16028312480444176</v>
      </c>
      <c r="AE19" s="3">
        <f>1/(1+EXP(-AD19))</f>
        <v>0.53998521388754717</v>
      </c>
      <c r="AI19" s="3">
        <f>$B$4</f>
        <v>0.1</v>
      </c>
      <c r="AJ19" s="3">
        <f>AJ4 + $O$7 * AI4 * AI13</f>
        <v>9.9993928279056801E-2</v>
      </c>
      <c r="AK19" s="3">
        <f>AI19*AJ19+AI20*AJ20</f>
        <v>2.9998785655811364E-2</v>
      </c>
      <c r="AL19" s="3">
        <f>1/(1+EXP(-AK19))</f>
        <v>0.50749913403286706</v>
      </c>
      <c r="AM19" s="3">
        <f>AL19</f>
        <v>0.50749913403286706</v>
      </c>
      <c r="AN19" s="3">
        <f>AN4 + $O$7 * AM4 * AM13</f>
        <v>9.9819896043970763E-2</v>
      </c>
      <c r="AO19" s="3">
        <f>AM19*AN19+AM20*AN20</f>
        <v>0.15406195793056415</v>
      </c>
      <c r="AP19" s="3">
        <f>1/(1+EXP(-AO19))</f>
        <v>0.53843948915754802</v>
      </c>
      <c r="AQ19" s="3">
        <f>AP19</f>
        <v>0.53843948915754802</v>
      </c>
      <c r="AR19" s="3">
        <f>AR4 + $O$7 * AQ4 * AQ13</f>
        <v>9.2310419135339633E-2</v>
      </c>
      <c r="AS19" s="3">
        <f>AQ19*AR19+AQ20*AR20</f>
        <v>0.16250669197836434</v>
      </c>
      <c r="AT19" s="3">
        <f>1/(1+EXP(-AS19))</f>
        <v>0.54053750127197686</v>
      </c>
    </row>
    <row r="20" spans="1:46" x14ac:dyDescent="0.3">
      <c r="B20" s="3">
        <f>$B$5</f>
        <v>0.1</v>
      </c>
      <c r="C20" s="3">
        <f>C5 + $O$7 * B5 * B13</f>
        <v>0.19999210263907885</v>
      </c>
      <c r="D20" s="3">
        <f>B19*C21+B20*C22</f>
        <v>6.999774246596191E-2</v>
      </c>
      <c r="E20" s="3">
        <f>1/(1+EXP(-D20))</f>
        <v>0.51749229397366359</v>
      </c>
      <c r="F20" s="3">
        <f>E20</f>
        <v>0.51749229397366359</v>
      </c>
      <c r="G20" s="3">
        <f>G5 + $O$7 * F5 * F13</f>
        <v>0.19976112965852028</v>
      </c>
      <c r="H20" s="3">
        <f>F19*G21+F20*G22</f>
        <v>0.35877415087688602</v>
      </c>
      <c r="I20" s="3">
        <f>1/(1+EXP(-H20))</f>
        <v>0.58874365819759045</v>
      </c>
      <c r="J20" s="3">
        <f>I20</f>
        <v>0.58874365819759045</v>
      </c>
      <c r="K20" s="3">
        <f>K5 + $O$7* J5 * J13</f>
        <v>0.18906272244039443</v>
      </c>
      <c r="L20" s="3"/>
      <c r="M20" s="3"/>
      <c r="O20" s="3"/>
      <c r="P20" s="3"/>
      <c r="Q20" s="3"/>
      <c r="R20" s="3"/>
      <c r="T20" s="3">
        <f>$O$19</f>
        <v>0.2</v>
      </c>
      <c r="U20" s="3">
        <f t="shared" ref="U20:U22" si="5">C20</f>
        <v>0.19999210263907885</v>
      </c>
      <c r="V20" s="3">
        <f>T19*U21+T20*U22</f>
        <v>0.13999548493192382</v>
      </c>
      <c r="W20" s="3">
        <f>1/(1+EXP(-V20))</f>
        <v>0.53494182190395889</v>
      </c>
      <c r="X20" s="3">
        <f>W20</f>
        <v>0.53494182190395889</v>
      </c>
      <c r="Y20" s="3">
        <f t="shared" ref="Y20:Y22" si="6">G20</f>
        <v>0.19976112965852028</v>
      </c>
      <c r="Z20" s="3">
        <f>X19*Y21+X20*Y22</f>
        <v>0.36799112063070571</v>
      </c>
      <c r="AA20" s="3">
        <f>1/(1+EXP(-Z20))</f>
        <v>0.59097347331497929</v>
      </c>
      <c r="AB20" s="3">
        <f>AA20</f>
        <v>0.59097347331497929</v>
      </c>
      <c r="AC20" s="3">
        <f>K20</f>
        <v>0.18906272244039443</v>
      </c>
      <c r="AD20" s="3"/>
      <c r="AE20" s="3"/>
      <c r="AI20" s="3">
        <f>$B$5</f>
        <v>0.1</v>
      </c>
      <c r="AJ20" s="3">
        <f>AJ5 + $O$7 * AI5 * AI13</f>
        <v>0.19999392827905682</v>
      </c>
      <c r="AK20" s="3">
        <f>AI19*AJ21+AI20*AJ22</f>
        <v>6.9998264342121891E-2</v>
      </c>
      <c r="AL20" s="3">
        <f>1/(1+EXP(-AK20))</f>
        <v>0.51749242428301845</v>
      </c>
      <c r="AM20" s="3">
        <f>AL20</f>
        <v>0.51749242428301845</v>
      </c>
      <c r="AN20" s="3">
        <f>AN5 + $O$7 * AM5 * AM13</f>
        <v>0.19981634952871591</v>
      </c>
      <c r="AO20" s="3">
        <f>AM19*AN21+AM20*AN22</f>
        <v>0.35888345381861442</v>
      </c>
      <c r="AP20" s="3">
        <f>1/(1+EXP(-AO20))</f>
        <v>0.58877012286787322</v>
      </c>
      <c r="AQ20" s="3">
        <f>AP20</f>
        <v>0.58877012286787322</v>
      </c>
      <c r="AR20" s="3">
        <f>AR5 + $O$7* AQ5 * AQ13</f>
        <v>0.19159110266287618</v>
      </c>
      <c r="AS20" s="3"/>
      <c r="AT20" s="3"/>
    </row>
    <row r="21" spans="1:46" x14ac:dyDescent="0.3">
      <c r="B21" s="3">
        <f>$B$6</f>
        <v>0.1</v>
      </c>
      <c r="C21" s="3">
        <f>C6 + $O$7 * B4 * B14</f>
        <v>0.2999887123298095</v>
      </c>
      <c r="D21" s="3"/>
      <c r="E21" s="3"/>
      <c r="F21" s="3"/>
      <c r="G21" s="3">
        <f>G6 + $O$7 * F4 * F14</f>
        <v>0.29954357807803927</v>
      </c>
      <c r="H21" s="3"/>
      <c r="I21" s="3"/>
      <c r="J21" s="3"/>
      <c r="K21" s="3"/>
      <c r="L21" s="3"/>
      <c r="M21" s="3"/>
      <c r="O21" s="3"/>
      <c r="P21" s="3"/>
      <c r="Q21" s="3"/>
      <c r="R21" s="3"/>
      <c r="T21" s="3">
        <f t="shared" ref="T21:T26" si="7">$O$19</f>
        <v>0.2</v>
      </c>
      <c r="U21" s="3">
        <f t="shared" si="5"/>
        <v>0.2999887123298095</v>
      </c>
      <c r="V21" s="3"/>
      <c r="W21" s="3"/>
      <c r="X21" s="3"/>
      <c r="Y21" s="3">
        <f t="shared" si="6"/>
        <v>0.29954357807803927</v>
      </c>
      <c r="Z21" s="3"/>
      <c r="AA21" s="3"/>
      <c r="AB21" s="3"/>
      <c r="AC21" s="3"/>
      <c r="AD21" s="3"/>
      <c r="AE21" s="3"/>
      <c r="AI21" s="3">
        <f>$B$6</f>
        <v>0.1</v>
      </c>
      <c r="AJ21" s="3">
        <f>AJ6 + $O$7 * AI4 * AI14</f>
        <v>0.29999132171060944</v>
      </c>
      <c r="AK21" s="3"/>
      <c r="AL21" s="3"/>
      <c r="AM21" s="3"/>
      <c r="AN21" s="3">
        <f>AN6 + $O$7 * AM4 * AM14</f>
        <v>0.29964908954140879</v>
      </c>
      <c r="AO21" s="3"/>
      <c r="AP21" s="3"/>
      <c r="AQ21" s="3"/>
      <c r="AR21" s="3"/>
      <c r="AS21" s="3"/>
      <c r="AT21" s="3"/>
    </row>
    <row r="22" spans="1:46" x14ac:dyDescent="0.3">
      <c r="B22" s="3">
        <f>$B$7</f>
        <v>0.1</v>
      </c>
      <c r="C22" s="3">
        <f>C7 + $O$7 * B5* B14</f>
        <v>0.39998871232980954</v>
      </c>
      <c r="D22" s="3"/>
      <c r="E22" s="3"/>
      <c r="F22" s="3"/>
      <c r="G22" s="3">
        <f>G7 + $O$7 * F5* F14</f>
        <v>0.39953459045031264</v>
      </c>
      <c r="H22" s="3"/>
      <c r="I22" s="3"/>
      <c r="J22" s="3"/>
      <c r="K22" s="3"/>
      <c r="L22" s="3"/>
      <c r="M22" s="3"/>
      <c r="O22" s="3"/>
      <c r="P22" s="3"/>
      <c r="Q22" s="3"/>
      <c r="R22" s="3"/>
      <c r="T22" s="3">
        <f t="shared" si="7"/>
        <v>0.2</v>
      </c>
      <c r="U22" s="3">
        <f t="shared" si="5"/>
        <v>0.39998871232980954</v>
      </c>
      <c r="V22" s="3"/>
      <c r="W22" s="3"/>
      <c r="X22" s="3"/>
      <c r="Y22" s="3">
        <f t="shared" si="6"/>
        <v>0.39953459045031264</v>
      </c>
      <c r="Z22" s="3"/>
      <c r="AA22" s="3"/>
      <c r="AB22" s="3"/>
      <c r="AC22" s="3"/>
      <c r="AD22" s="3"/>
      <c r="AE22" s="3"/>
      <c r="AI22" s="3">
        <f>$B$7</f>
        <v>0.1</v>
      </c>
      <c r="AJ22" s="3">
        <f>AJ7 + $O$7 * AI5* AI14</f>
        <v>0.39999132171060947</v>
      </c>
      <c r="AK22" s="3"/>
      <c r="AL22" s="3"/>
      <c r="AM22" s="3"/>
      <c r="AN22" s="3">
        <f>AN7 + $O$7 * AM5* AM14</f>
        <v>0.39964217959161136</v>
      </c>
      <c r="AO22" s="3"/>
      <c r="AP22" s="3"/>
      <c r="AQ22" s="3"/>
      <c r="AR22" s="3"/>
      <c r="AS22" s="3"/>
      <c r="AT22" s="3"/>
    </row>
    <row r="23" spans="1:46" x14ac:dyDescent="0.3">
      <c r="B23" s="3">
        <f>$B$8</f>
        <v>0.1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O23" s="3"/>
      <c r="P23" s="3"/>
      <c r="Q23" s="3"/>
      <c r="R23" s="3"/>
      <c r="T23" s="3">
        <f>$O$19</f>
        <v>0.2</v>
      </c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I23" s="3">
        <f>$B$8</f>
        <v>0.1</v>
      </c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</row>
    <row r="24" spans="1:46" x14ac:dyDescent="0.3">
      <c r="B24" s="3">
        <f>$B$9</f>
        <v>0.1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O24" s="3"/>
      <c r="P24" s="3"/>
      <c r="Q24" s="3"/>
      <c r="R24" s="3"/>
      <c r="T24" s="3">
        <f t="shared" si="7"/>
        <v>0.2</v>
      </c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I24" s="3">
        <f>$B$9</f>
        <v>0.1</v>
      </c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</row>
    <row r="25" spans="1:46" x14ac:dyDescent="0.3">
      <c r="B25" s="3">
        <f>$B$10</f>
        <v>0.1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O25" s="3"/>
      <c r="P25" s="3"/>
      <c r="Q25" s="3"/>
      <c r="R25" s="3"/>
      <c r="T25" s="3">
        <f t="shared" si="7"/>
        <v>0.2</v>
      </c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I25" s="3">
        <f>$B$10</f>
        <v>0.1</v>
      </c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 spans="1:46" x14ac:dyDescent="0.3">
      <c r="B26" s="3">
        <f>$B$11</f>
        <v>0.1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O26" s="3"/>
      <c r="P26" s="3"/>
      <c r="Q26" s="3"/>
      <c r="R26" s="3"/>
      <c r="T26" s="3">
        <f t="shared" si="7"/>
        <v>0.2</v>
      </c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I26" s="3">
        <f>$B$11</f>
        <v>0.1</v>
      </c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</row>
    <row r="29" spans="1:46" x14ac:dyDescent="0.3">
      <c r="T29" s="8" t="s">
        <v>4</v>
      </c>
      <c r="U29" s="8"/>
      <c r="V29" s="8"/>
      <c r="W29" s="8"/>
      <c r="X29" s="8" t="s">
        <v>5</v>
      </c>
      <c r="Y29" s="8"/>
      <c r="Z29" s="8"/>
      <c r="AA29" s="8"/>
      <c r="AB29" s="8" t="s">
        <v>6</v>
      </c>
      <c r="AC29" s="8"/>
      <c r="AD29" s="8"/>
      <c r="AE29" s="8"/>
      <c r="AI29" s="8" t="s">
        <v>4</v>
      </c>
      <c r="AJ29" s="8"/>
      <c r="AK29" s="8"/>
      <c r="AL29" s="8"/>
      <c r="AM29" s="8" t="s">
        <v>5</v>
      </c>
      <c r="AN29" s="8"/>
      <c r="AO29" s="8"/>
      <c r="AP29" s="8"/>
      <c r="AQ29" s="8" t="s">
        <v>6</v>
      </c>
      <c r="AR29" s="8"/>
      <c r="AS29" s="8"/>
      <c r="AT29" s="8"/>
    </row>
    <row r="30" spans="1:46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</row>
    <row r="31" spans="1:46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 s="3" t="s">
        <v>0</v>
      </c>
      <c r="U31" s="3" t="s">
        <v>1</v>
      </c>
      <c r="V31" s="3" t="s">
        <v>2</v>
      </c>
      <c r="W31" s="3" t="s">
        <v>3</v>
      </c>
      <c r="X31" s="3" t="s">
        <v>0</v>
      </c>
      <c r="Y31" s="3" t="s">
        <v>1</v>
      </c>
      <c r="Z31" s="3" t="s">
        <v>2</v>
      </c>
      <c r="AA31" s="3" t="s">
        <v>3</v>
      </c>
      <c r="AB31" s="3" t="s">
        <v>0</v>
      </c>
      <c r="AC31" s="3" t="s">
        <v>1</v>
      </c>
      <c r="AD31" s="3" t="s">
        <v>2</v>
      </c>
      <c r="AE31" s="3" t="s">
        <v>3</v>
      </c>
      <c r="AF31"/>
      <c r="AI31" s="3" t="s">
        <v>0</v>
      </c>
      <c r="AJ31" s="3" t="s">
        <v>1</v>
      </c>
      <c r="AK31" s="3" t="s">
        <v>2</v>
      </c>
      <c r="AL31" s="3" t="s">
        <v>3</v>
      </c>
      <c r="AM31" s="3" t="s">
        <v>0</v>
      </c>
      <c r="AN31" s="3" t="s">
        <v>1</v>
      </c>
      <c r="AO31" s="3" t="s">
        <v>2</v>
      </c>
      <c r="AP31" s="3" t="s">
        <v>3</v>
      </c>
      <c r="AQ31" s="3" t="s">
        <v>0</v>
      </c>
      <c r="AR31" s="3" t="s">
        <v>1</v>
      </c>
      <c r="AS31" s="3" t="s">
        <v>2</v>
      </c>
      <c r="AT31" s="3" t="s">
        <v>3</v>
      </c>
    </row>
    <row r="32" spans="1:46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 s="3">
        <f>$O$19</f>
        <v>0.2</v>
      </c>
      <c r="U32" s="3">
        <f>U19 + $O$7 * T4 * T13</f>
        <v>9.9976341700736535E-2</v>
      </c>
      <c r="V32" s="3">
        <f>T32*U32+T33*U33</f>
        <v>5.9990536680294623E-2</v>
      </c>
      <c r="W32" s="3">
        <f>1/(1+EXP(-V32))</f>
        <v>0.51499313791711832</v>
      </c>
      <c r="X32" s="3">
        <f>W32</f>
        <v>0.51499313791711832</v>
      </c>
      <c r="Y32" s="3">
        <f>Y4 + $O$7 * X4 * X13</f>
        <v>9.976236104041708E-2</v>
      </c>
      <c r="Z32" s="3">
        <f>X32*Y32+X33*Y33</f>
        <v>0.15823280235251694</v>
      </c>
      <c r="AA32" s="3">
        <f>1/(1+EXP(-Z32))</f>
        <v>0.5394758697867218</v>
      </c>
      <c r="AB32" s="3">
        <f>AA32</f>
        <v>0.5394758697867218</v>
      </c>
      <c r="AC32" s="3">
        <f>AC4 + $P$19 * AB4 * AB13</f>
        <v>4.9893779319048238E-2</v>
      </c>
      <c r="AD32" s="3">
        <f>AB32*AC32+AB33*AC33</f>
        <v>0.11267001904034014</v>
      </c>
      <c r="AE32" s="3">
        <f>1/(1+EXP(-AD32))</f>
        <v>0.52813774476143727</v>
      </c>
      <c r="AF32"/>
      <c r="AI32" s="3">
        <f>$O$18</f>
        <v>0.1</v>
      </c>
      <c r="AJ32" s="3">
        <f>AJ19</f>
        <v>9.9993928279056801E-2</v>
      </c>
      <c r="AK32" s="3">
        <f>AI32*AJ32+AI33*AJ33</f>
        <v>2.9998785655811364E-2</v>
      </c>
      <c r="AL32" s="3">
        <f>1/(1+EXP(-AK32))</f>
        <v>0.50749913403286706</v>
      </c>
      <c r="AM32" s="3">
        <f>AL32</f>
        <v>0.50749913403286706</v>
      </c>
      <c r="AN32" s="3">
        <f>AN19</f>
        <v>9.9819896043970763E-2</v>
      </c>
      <c r="AO32" s="3">
        <f>AM32*AN32+AM33*AN33</f>
        <v>0.15406195793056415</v>
      </c>
      <c r="AP32" s="3">
        <f>1/(1+EXP(-AO32))</f>
        <v>0.53843948915754802</v>
      </c>
      <c r="AQ32" s="3">
        <f>AP32</f>
        <v>0.53843948915754802</v>
      </c>
      <c r="AR32" s="3">
        <f>AR19</f>
        <v>9.2310419135339633E-2</v>
      </c>
      <c r="AS32" s="3">
        <f>AQ32*AR32+AQ33*AR33</f>
        <v>0.16250669197836434</v>
      </c>
      <c r="AT32" s="3">
        <f>1/(1+EXP(-AS32))</f>
        <v>0.54053750127197686</v>
      </c>
    </row>
    <row r="33" spans="1:46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 s="3">
        <f t="shared" ref="T33:T39" si="8">$O$19</f>
        <v>0.2</v>
      </c>
      <c r="U33" s="3">
        <f>U20 + $O$7 * T4 * T13</f>
        <v>0.19997634170073655</v>
      </c>
      <c r="V33" s="3">
        <f>T32*U34+T33*U35</f>
        <v>0.1399865003750318</v>
      </c>
      <c r="W33" s="3">
        <f>1/(1+EXP(-V33))</f>
        <v>0.53493958673355746</v>
      </c>
      <c r="X33" s="3">
        <f>W33</f>
        <v>0.53493958673355746</v>
      </c>
      <c r="Y33" s="3">
        <f>Y5 + $O$7 * X5 * X13</f>
        <v>0.1997531565139426</v>
      </c>
      <c r="Z33" s="3">
        <f>X32*Y34+X33*Y35</f>
        <v>0.36797871163760593</v>
      </c>
      <c r="AA33" s="3">
        <f>1/(1+EXP(-Z33))</f>
        <v>0.59097047376228995</v>
      </c>
      <c r="AB33" s="3">
        <f>AA33</f>
        <v>0.59097047376228995</v>
      </c>
      <c r="AC33" s="3">
        <f>AC5 + $P$19 * AB5 * AB13</f>
        <v>0.1451062833974055</v>
      </c>
      <c r="AD33" s="3"/>
      <c r="AE33" s="3"/>
      <c r="AF33"/>
      <c r="AI33" s="3">
        <f t="shared" ref="AI33:AI39" si="9">$O$18</f>
        <v>0.1</v>
      </c>
      <c r="AJ33" s="3">
        <f t="shared" ref="AJ33:AJ35" si="10">AJ20</f>
        <v>0.19999392827905682</v>
      </c>
      <c r="AK33" s="3">
        <f>AI32*AJ34+AI33*AJ35</f>
        <v>6.9998264342121891E-2</v>
      </c>
      <c r="AL33" s="3">
        <f>1/(1+EXP(-AK33))</f>
        <v>0.51749242428301845</v>
      </c>
      <c r="AM33" s="3">
        <f>AL33</f>
        <v>0.51749242428301845</v>
      </c>
      <c r="AN33" s="3">
        <f t="shared" ref="AN33:AN35" si="11">AN20</f>
        <v>0.19981634952871591</v>
      </c>
      <c r="AO33" s="3">
        <f>AM32*AN34+AM33*AN35</f>
        <v>0.35888345381861442</v>
      </c>
      <c r="AP33" s="3">
        <f>1/(1+EXP(-AO33))</f>
        <v>0.58877012286787322</v>
      </c>
      <c r="AQ33" s="3">
        <f>AP33</f>
        <v>0.58877012286787322</v>
      </c>
      <c r="AR33" s="3">
        <f>AR20</f>
        <v>0.19159110266287618</v>
      </c>
      <c r="AS33" s="3"/>
      <c r="AT33" s="3"/>
    </row>
    <row r="34" spans="1:46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 s="3">
        <f t="shared" si="8"/>
        <v>0.2</v>
      </c>
      <c r="U34" s="3">
        <f>U21 + $O$7 * T4 * T14</f>
        <v>0.2999662509375795</v>
      </c>
      <c r="V34" s="3"/>
      <c r="W34" s="3"/>
      <c r="X34" s="3"/>
      <c r="Y34" s="3">
        <f>Y6 + $O$7 * X4 * X14</f>
        <v>0.29953760500849397</v>
      </c>
      <c r="Z34" s="3"/>
      <c r="AA34" s="3"/>
      <c r="AB34" s="3"/>
      <c r="AC34" s="3"/>
      <c r="AD34" s="3"/>
      <c r="AE34" s="3"/>
      <c r="AF34"/>
      <c r="AI34" s="3">
        <f t="shared" si="9"/>
        <v>0.1</v>
      </c>
      <c r="AJ34" s="3">
        <f t="shared" si="10"/>
        <v>0.29999132171060944</v>
      </c>
      <c r="AK34" s="3"/>
      <c r="AL34" s="3"/>
      <c r="AM34" s="3"/>
      <c r="AN34" s="3">
        <f t="shared" si="11"/>
        <v>0.29964908954140879</v>
      </c>
      <c r="AO34" s="3"/>
      <c r="AP34" s="3"/>
      <c r="AQ34" s="3"/>
      <c r="AR34" s="3"/>
      <c r="AS34" s="3"/>
      <c r="AT34" s="3"/>
    </row>
    <row r="35" spans="1:46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 s="3">
        <f t="shared" si="8"/>
        <v>0.2</v>
      </c>
      <c r="U35" s="3">
        <f>U22 + $O$7 * T4 * T14</f>
        <v>0.39996625093757954</v>
      </c>
      <c r="V35" s="3"/>
      <c r="W35" s="3"/>
      <c r="X35" s="3"/>
      <c r="Y35" s="3">
        <f>Y7 + $O$7 * X5* X14</f>
        <v>0.39951969495305334</v>
      </c>
      <c r="Z35" s="3"/>
      <c r="AA35" s="3"/>
      <c r="AB35" s="3"/>
      <c r="AC35" s="3"/>
      <c r="AD35" s="3"/>
      <c r="AE35" s="3"/>
      <c r="AF35"/>
      <c r="AI35" s="3">
        <f t="shared" si="9"/>
        <v>0.1</v>
      </c>
      <c r="AJ35" s="3">
        <f t="shared" si="10"/>
        <v>0.39999132171060947</v>
      </c>
      <c r="AK35" s="3"/>
      <c r="AL35" s="3"/>
      <c r="AM35" s="3"/>
      <c r="AN35" s="3">
        <f t="shared" si="11"/>
        <v>0.39964217959161136</v>
      </c>
      <c r="AO35" s="3"/>
      <c r="AP35" s="3"/>
      <c r="AQ35" s="3"/>
      <c r="AR35" s="3"/>
      <c r="AS35" s="3"/>
      <c r="AT35" s="3"/>
    </row>
    <row r="36" spans="1:46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 s="3">
        <f t="shared" si="8"/>
        <v>0.2</v>
      </c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/>
      <c r="AI36" s="3">
        <f t="shared" si="9"/>
        <v>0.1</v>
      </c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</row>
    <row r="37" spans="1:46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 s="3">
        <f t="shared" si="8"/>
        <v>0.2</v>
      </c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/>
      <c r="AI37" s="3">
        <f t="shared" si="9"/>
        <v>0.1</v>
      </c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</row>
    <row r="38" spans="1:46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 s="3">
        <f t="shared" si="8"/>
        <v>0.2</v>
      </c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/>
      <c r="AI38" s="3">
        <f t="shared" si="9"/>
        <v>0.1</v>
      </c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</row>
    <row r="39" spans="1:46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 s="3">
        <f t="shared" si="8"/>
        <v>0.2</v>
      </c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/>
      <c r="AI39" s="3">
        <f t="shared" si="9"/>
        <v>0.1</v>
      </c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</row>
    <row r="40" spans="1:46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 spans="1:46" x14ac:dyDescent="0.3">
      <c r="B41" s="8" t="s">
        <v>4</v>
      </c>
      <c r="C41" s="8"/>
      <c r="D41" s="8"/>
      <c r="E41" s="8"/>
      <c r="F41" s="8" t="s">
        <v>5</v>
      </c>
      <c r="G41" s="8"/>
      <c r="H41" s="8"/>
      <c r="I41" s="8"/>
      <c r="J41" s="8" t="s">
        <v>6</v>
      </c>
      <c r="K41" s="8"/>
      <c r="L41" s="8"/>
      <c r="M41" s="8"/>
      <c r="T41" s="8" t="s">
        <v>4</v>
      </c>
      <c r="U41" s="8"/>
      <c r="V41" s="8"/>
      <c r="W41" s="8"/>
      <c r="X41" s="8" t="s">
        <v>5</v>
      </c>
      <c r="Y41" s="8"/>
      <c r="Z41" s="8"/>
      <c r="AA41" s="8"/>
      <c r="AB41" s="8" t="s">
        <v>6</v>
      </c>
      <c r="AC41" s="8"/>
      <c r="AD41" s="8"/>
      <c r="AE41" s="8"/>
      <c r="AF41"/>
      <c r="AH41" s="4" t="s">
        <v>7</v>
      </c>
      <c r="AI41" s="5">
        <f>AL32 * (1 - AL32) * (AN32 * AM41 + AN34 * AM42)</f>
        <v>-5.6870160192273997E-4</v>
      </c>
      <c r="AJ41" s="6"/>
      <c r="AK41" s="6"/>
      <c r="AL41" s="7"/>
      <c r="AM41" s="5">
        <f>AP32 * (1 - AP32) * AR32 *AQ41</f>
        <v>-3.2240999686871255E-3</v>
      </c>
      <c r="AN41" s="6"/>
      <c r="AO41" s="6"/>
      <c r="AP41" s="7"/>
      <c r="AQ41" s="5">
        <f>$P$18 - AT32</f>
        <v>-0.14053750127197684</v>
      </c>
      <c r="AR41" s="6"/>
      <c r="AS41" s="6"/>
      <c r="AT41" s="7"/>
    </row>
    <row r="42" spans="1:46" x14ac:dyDescent="0.3"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/>
      <c r="AI42" s="5">
        <f>AL33 * (1 - AL33) * (AN33 * AM41 + AN35 * AM42)</f>
        <v>-8.1140499227254088E-4</v>
      </c>
      <c r="AJ42" s="6"/>
      <c r="AK42" s="6"/>
      <c r="AL42" s="7"/>
      <c r="AM42" s="5">
        <f>AQ33 * (1 - AQ33) * AR33 * AQ41</f>
        <v>-6.5192552907796554E-3</v>
      </c>
      <c r="AN42" s="6"/>
      <c r="AO42" s="6"/>
      <c r="AP42" s="7"/>
    </row>
    <row r="43" spans="1:46" x14ac:dyDescent="0.3">
      <c r="B43" s="3" t="s">
        <v>0</v>
      </c>
      <c r="C43" s="3" t="s">
        <v>1</v>
      </c>
      <c r="D43" s="3" t="s">
        <v>2</v>
      </c>
      <c r="E43" s="3" t="s">
        <v>3</v>
      </c>
      <c r="F43" s="3" t="s">
        <v>0</v>
      </c>
      <c r="G43" s="3" t="s">
        <v>1</v>
      </c>
      <c r="H43" s="3" t="s">
        <v>2</v>
      </c>
      <c r="I43" s="3" t="s">
        <v>3</v>
      </c>
      <c r="J43" s="3" t="s">
        <v>0</v>
      </c>
      <c r="K43" s="3" t="s">
        <v>1</v>
      </c>
      <c r="L43" s="3" t="s">
        <v>2</v>
      </c>
      <c r="M43" s="3" t="s">
        <v>3</v>
      </c>
      <c r="T43" s="3" t="s">
        <v>0</v>
      </c>
      <c r="U43" s="3" t="s">
        <v>1</v>
      </c>
      <c r="V43" s="3" t="s">
        <v>2</v>
      </c>
      <c r="W43" s="3" t="s">
        <v>3</v>
      </c>
      <c r="X43" s="3" t="s">
        <v>0</v>
      </c>
      <c r="Y43" s="3" t="s">
        <v>1</v>
      </c>
      <c r="Z43" s="3" t="s">
        <v>2</v>
      </c>
      <c r="AA43" s="3" t="s">
        <v>3</v>
      </c>
      <c r="AB43" s="3" t="s">
        <v>0</v>
      </c>
      <c r="AC43" s="3" t="s">
        <v>1</v>
      </c>
      <c r="AD43" s="3" t="s">
        <v>2</v>
      </c>
      <c r="AE43" s="3" t="s">
        <v>3</v>
      </c>
      <c r="AF43"/>
    </row>
    <row r="44" spans="1:46" x14ac:dyDescent="0.3">
      <c r="B44" s="3">
        <f>$O$18</f>
        <v>0.1</v>
      </c>
      <c r="C44" s="3">
        <f>U32</f>
        <v>9.9976341700736535E-2</v>
      </c>
      <c r="D44" s="3">
        <f>B44*C44+B45*C45</f>
        <v>2.9995268340147312E-2</v>
      </c>
      <c r="E44" s="3">
        <f>1/(1+EXP(-D44))</f>
        <v>0.50749825490173117</v>
      </c>
      <c r="F44" s="3">
        <f>E44</f>
        <v>0.50749825490173117</v>
      </c>
      <c r="G44" s="3">
        <f>Y32</f>
        <v>9.976236104041708E-2</v>
      </c>
      <c r="H44" s="3">
        <f>F44*G44+F45*G45</f>
        <v>0.15399971926362152</v>
      </c>
      <c r="I44" s="3">
        <f>1/(1+EXP(-H44))</f>
        <v>0.53842402141731327</v>
      </c>
      <c r="J44" s="3">
        <f>I44</f>
        <v>0.53842402141731327</v>
      </c>
      <c r="K44" s="3">
        <f>AC32</f>
        <v>4.9893779319048238E-2</v>
      </c>
      <c r="L44" s="3">
        <f>J44*K44+J45*K45</f>
        <v>0.11229401205877862</v>
      </c>
      <c r="M44" s="3">
        <f>1/(1+EXP(-L44))</f>
        <v>0.52804403972276803</v>
      </c>
      <c r="T44" s="3">
        <f>$O$19</f>
        <v>0.2</v>
      </c>
      <c r="U44" s="3">
        <f>C44</f>
        <v>9.9976341700736535E-2</v>
      </c>
      <c r="V44" s="3">
        <f>T44*U44+T45*U45</f>
        <v>5.9990536680294623E-2</v>
      </c>
      <c r="W44" s="3">
        <f>1/(1+EXP(-V44))</f>
        <v>0.51499313791711832</v>
      </c>
      <c r="X44" s="3">
        <f>W44</f>
        <v>0.51499313791711832</v>
      </c>
      <c r="Y44" s="3">
        <f>G44</f>
        <v>9.976236104041708E-2</v>
      </c>
      <c r="Z44" s="3">
        <f>X44*Y44+X45*Y45</f>
        <v>0.15823280235251694</v>
      </c>
      <c r="AA44" s="3">
        <f>1/(1+EXP(-Z44))</f>
        <v>0.5394758697867218</v>
      </c>
      <c r="AB44" s="3">
        <f>AA44</f>
        <v>0.5394758697867218</v>
      </c>
      <c r="AC44" s="3">
        <f>K44</f>
        <v>4.9893779319048238E-2</v>
      </c>
      <c r="AD44" s="3">
        <f>AB44*AC44+AB45*AC45</f>
        <v>0.11267001904034014</v>
      </c>
      <c r="AE44" s="3">
        <f>1/(1+EXP(-AD44))</f>
        <v>0.52813774476143727</v>
      </c>
      <c r="AF44"/>
      <c r="AI44" s="8" t="s">
        <v>4</v>
      </c>
      <c r="AJ44" s="8"/>
      <c r="AK44" s="8"/>
      <c r="AL44" s="8"/>
      <c r="AM44" s="8" t="s">
        <v>5</v>
      </c>
      <c r="AN44" s="8"/>
      <c r="AO44" s="8"/>
      <c r="AP44" s="8"/>
      <c r="AQ44" s="8" t="s">
        <v>6</v>
      </c>
      <c r="AR44" s="8"/>
      <c r="AS44" s="8"/>
      <c r="AT44" s="8"/>
    </row>
    <row r="45" spans="1:46" x14ac:dyDescent="0.3">
      <c r="B45" s="3">
        <f t="shared" ref="B45:B51" si="12">$O$18</f>
        <v>0.1</v>
      </c>
      <c r="C45" s="3">
        <f t="shared" ref="C45:C47" si="13">U33</f>
        <v>0.19997634170073655</v>
      </c>
      <c r="D45" s="3">
        <f>B44*C46+B45*C47</f>
        <v>6.9993250187515899E-2</v>
      </c>
      <c r="E45" s="3">
        <f>1/(1+EXP(-D45))</f>
        <v>0.51749117227851282</v>
      </c>
      <c r="F45" s="3">
        <f>E45</f>
        <v>0.51749117227851282</v>
      </c>
      <c r="G45" s="3">
        <f t="shared" ref="G45:G47" si="14">Y33</f>
        <v>0.1997531565139426</v>
      </c>
      <c r="H45" s="3">
        <f>F44*G46+F45*G47</f>
        <v>0.35876272710886414</v>
      </c>
      <c r="I45" s="3">
        <f>1/(1+EXP(-H45))</f>
        <v>0.58874089221994486</v>
      </c>
      <c r="J45" s="3">
        <f>I45</f>
        <v>0.58874089221994486</v>
      </c>
      <c r="K45" s="3">
        <f>AC33</f>
        <v>0.1451062833974055</v>
      </c>
      <c r="L45" s="3"/>
      <c r="M45" s="3"/>
      <c r="T45" s="3">
        <f>$O$19</f>
        <v>0.2</v>
      </c>
      <c r="U45" s="3">
        <f t="shared" ref="U45:U47" si="15">C45</f>
        <v>0.19997634170073655</v>
      </c>
      <c r="V45" s="3">
        <f>T44*U46+T45*U47</f>
        <v>0.1399865003750318</v>
      </c>
      <c r="W45" s="3">
        <f>1/(1+EXP(-V45))</f>
        <v>0.53493958673355746</v>
      </c>
      <c r="X45" s="3">
        <f>W45</f>
        <v>0.53493958673355746</v>
      </c>
      <c r="Y45" s="3">
        <f t="shared" ref="Y45:Y47" si="16">G45</f>
        <v>0.1997531565139426</v>
      </c>
      <c r="Z45" s="3">
        <f>X44*Y46+X45*Y47</f>
        <v>0.36797871163760593</v>
      </c>
      <c r="AA45" s="3">
        <f>1/(1+EXP(-Z45))</f>
        <v>0.59097047376228995</v>
      </c>
      <c r="AB45" s="3">
        <f>AA45</f>
        <v>0.59097047376228995</v>
      </c>
      <c r="AC45" s="3">
        <f>K45</f>
        <v>0.1451062833974055</v>
      </c>
      <c r="AD45" s="3"/>
      <c r="AE45" s="3"/>
      <c r="AF45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</row>
    <row r="46" spans="1:46" x14ac:dyDescent="0.3">
      <c r="B46" s="3">
        <f t="shared" si="12"/>
        <v>0.1</v>
      </c>
      <c r="C46" s="3">
        <f t="shared" si="13"/>
        <v>0.2999662509375795</v>
      </c>
      <c r="D46" s="3"/>
      <c r="E46" s="3"/>
      <c r="F46" s="3"/>
      <c r="G46" s="3">
        <f t="shared" si="14"/>
        <v>0.29953760500849397</v>
      </c>
      <c r="H46" s="3"/>
      <c r="I46" s="3"/>
      <c r="J46" s="3"/>
      <c r="K46" s="3"/>
      <c r="L46" s="3"/>
      <c r="M46" s="3"/>
      <c r="O46" s="2" t="s">
        <v>9</v>
      </c>
      <c r="Q46" s="1">
        <f>$P$18-M44</f>
        <v>-0.12804403972276801</v>
      </c>
      <c r="R46" s="1">
        <f>$P$19 - AE44</f>
        <v>-2.8137744761437267E-2</v>
      </c>
      <c r="T46" s="3">
        <f t="shared" ref="T46:T51" si="17">$O$19</f>
        <v>0.2</v>
      </c>
      <c r="U46" s="3">
        <f t="shared" si="15"/>
        <v>0.2999662509375795</v>
      </c>
      <c r="V46" s="3"/>
      <c r="W46" s="3"/>
      <c r="X46" s="3"/>
      <c r="Y46" s="3">
        <f t="shared" si="16"/>
        <v>0.29953760500849397</v>
      </c>
      <c r="Z46" s="3"/>
      <c r="AA46" s="3"/>
      <c r="AB46" s="3"/>
      <c r="AC46" s="3"/>
      <c r="AD46" s="3"/>
      <c r="AE46" s="3"/>
      <c r="AF46"/>
      <c r="AI46" s="3" t="s">
        <v>0</v>
      </c>
      <c r="AJ46" s="3" t="s">
        <v>1</v>
      </c>
      <c r="AK46" s="3" t="s">
        <v>2</v>
      </c>
      <c r="AL46" s="3" t="s">
        <v>3</v>
      </c>
      <c r="AM46" s="3" t="s">
        <v>0</v>
      </c>
      <c r="AN46" s="3" t="s">
        <v>1</v>
      </c>
      <c r="AO46" s="3" t="s">
        <v>2</v>
      </c>
      <c r="AP46" s="3" t="s">
        <v>3</v>
      </c>
      <c r="AQ46" s="3" t="s">
        <v>0</v>
      </c>
      <c r="AR46" s="3" t="s">
        <v>1</v>
      </c>
      <c r="AS46" s="3" t="s">
        <v>2</v>
      </c>
      <c r="AT46" s="3" t="s">
        <v>3</v>
      </c>
    </row>
    <row r="47" spans="1:46" x14ac:dyDescent="0.3">
      <c r="B47" s="3">
        <f t="shared" si="12"/>
        <v>0.1</v>
      </c>
      <c r="C47" s="3">
        <f t="shared" si="13"/>
        <v>0.39996625093757954</v>
      </c>
      <c r="D47" s="3"/>
      <c r="E47" s="3"/>
      <c r="F47" s="3"/>
      <c r="G47" s="3">
        <f t="shared" si="14"/>
        <v>0.39951969495305334</v>
      </c>
      <c r="H47" s="3"/>
      <c r="I47" s="3"/>
      <c r="J47" s="3"/>
      <c r="K47" s="3"/>
      <c r="L47" s="3"/>
      <c r="M47" s="3"/>
      <c r="O47" s="3">
        <v>0.1</v>
      </c>
      <c r="Q47" s="1">
        <f>SUM(Q46,R46)</f>
        <v>-0.15618178448420528</v>
      </c>
      <c r="T47" s="3">
        <f t="shared" si="17"/>
        <v>0.2</v>
      </c>
      <c r="U47" s="3">
        <f t="shared" si="15"/>
        <v>0.39996625093757954</v>
      </c>
      <c r="V47" s="3"/>
      <c r="W47" s="3"/>
      <c r="X47" s="3"/>
      <c r="Y47" s="3">
        <f t="shared" si="16"/>
        <v>0.39951969495305334</v>
      </c>
      <c r="Z47" s="3"/>
      <c r="AA47" s="3"/>
      <c r="AB47" s="3"/>
      <c r="AC47" s="3"/>
      <c r="AD47" s="3"/>
      <c r="AE47" s="3"/>
      <c r="AF47"/>
      <c r="AI47" s="3">
        <f>$B$4</f>
        <v>0.1</v>
      </c>
      <c r="AJ47" s="3">
        <f>AJ32 + $O$7 * AI32 * AI41</f>
        <v>9.9988241263037569E-2</v>
      </c>
      <c r="AK47" s="3">
        <f>AI47*AJ47+AI48*AJ48</f>
        <v>2.999764825260752E-2</v>
      </c>
      <c r="AL47" s="3">
        <f>1/(1+EXP(-AK47))</f>
        <v>0.50749884974602788</v>
      </c>
      <c r="AM47" s="3">
        <f>AL47</f>
        <v>0.50749884974602788</v>
      </c>
      <c r="AN47" s="3">
        <f>AN32 + $O$7 * AM32 * AM41</f>
        <v>9.9656273249756358E-2</v>
      </c>
      <c r="AO47" s="3">
        <f>AM47*AN47+AM48*AN48</f>
        <v>0.15389246938978918</v>
      </c>
      <c r="AP47" s="3">
        <f>1/(1+EXP(-AO47))</f>
        <v>0.53839736718333453</v>
      </c>
      <c r="AQ47" s="3">
        <f>AP47</f>
        <v>0.53839736718333453</v>
      </c>
      <c r="AR47" s="3">
        <f>AR32 + $O$7 * AQ32 * AQ41</f>
        <v>8.4743325096103481E-2</v>
      </c>
      <c r="AS47" s="3">
        <f>AQ47*AR47+AQ48*AR48</f>
        <v>0.15354175129781056</v>
      </c>
      <c r="AT47" s="3">
        <f>1/(1+EXP(-AS47))</f>
        <v>0.53831020357138815</v>
      </c>
    </row>
    <row r="48" spans="1:46" x14ac:dyDescent="0.3">
      <c r="B48" s="3">
        <f t="shared" si="12"/>
        <v>0.1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T48" s="3">
        <f>$O$19</f>
        <v>0.2</v>
      </c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/>
      <c r="AI48" s="3">
        <f>$B$5</f>
        <v>0.1</v>
      </c>
      <c r="AJ48" s="3">
        <f>AJ33 + $O$7 * AI33 * AI41</f>
        <v>0.1999882412630376</v>
      </c>
      <c r="AK48" s="3">
        <f>AI47*AJ49+AI48*AJ50</f>
        <v>6.9996641532137346E-2</v>
      </c>
      <c r="AL48" s="3">
        <f>1/(1+EXP(-AK48))</f>
        <v>0.51749201907706621</v>
      </c>
      <c r="AM48" s="3">
        <f>AL48</f>
        <v>0.51749201907706621</v>
      </c>
      <c r="AN48" s="3">
        <f>AN33 + $O$7 * AM33 * AM41</f>
        <v>0.19964950479782323</v>
      </c>
      <c r="AO48" s="3">
        <f>AM47*AN49+AM48*AN50</f>
        <v>0.35854071538455923</v>
      </c>
      <c r="AP48" s="3">
        <f>1/(1+EXP(-AO48))</f>
        <v>0.58868713656035088</v>
      </c>
      <c r="AQ48" s="3">
        <f>AP48</f>
        <v>0.58868713656035088</v>
      </c>
      <c r="AR48" s="3">
        <f>AR33 + $O$7* AQ33 * AQ41</f>
        <v>0.18331667447373162</v>
      </c>
      <c r="AS48" s="3"/>
      <c r="AT48" s="3"/>
    </row>
    <row r="49" spans="1:46" x14ac:dyDescent="0.3">
      <c r="B49" s="3">
        <f t="shared" si="12"/>
        <v>0.1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T49" s="3">
        <f t="shared" si="17"/>
        <v>0.2</v>
      </c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/>
      <c r="AI49" s="3">
        <f>$B$6</f>
        <v>0.1</v>
      </c>
      <c r="AJ49" s="3">
        <f>AJ34 + $O$7 * AI32 * AI42</f>
        <v>0.2999832076606867</v>
      </c>
      <c r="AK49" s="3"/>
      <c r="AL49" s="3"/>
      <c r="AM49" s="3"/>
      <c r="AN49" s="3">
        <f>AN34 + $O$7 * AM32 * AM42</f>
        <v>0.29931823789994783</v>
      </c>
      <c r="AO49" s="3"/>
      <c r="AP49" s="3"/>
      <c r="AQ49" s="3"/>
      <c r="AR49" s="3"/>
      <c r="AS49" s="3"/>
      <c r="AT49" s="3"/>
    </row>
    <row r="50" spans="1:46" x14ac:dyDescent="0.3">
      <c r="B50" s="3">
        <f t="shared" si="12"/>
        <v>0.1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T50" s="3">
        <f t="shared" si="17"/>
        <v>0.2</v>
      </c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/>
      <c r="AI50" s="3">
        <f>$B$7</f>
        <v>0.1</v>
      </c>
      <c r="AJ50" s="3">
        <f>AJ35 + $O$7 * AI33* AI42</f>
        <v>0.39998320766068673</v>
      </c>
      <c r="AK50" s="3"/>
      <c r="AL50" s="3"/>
      <c r="AM50" s="3"/>
      <c r="AN50" s="3">
        <f>AN35 + $O$7 * AM33* AM42</f>
        <v>0.3993048130691168</v>
      </c>
      <c r="AO50" s="3"/>
      <c r="AP50" s="3"/>
      <c r="AQ50" s="3"/>
      <c r="AR50" s="3"/>
      <c r="AS50" s="3"/>
      <c r="AT50" s="3"/>
    </row>
    <row r="51" spans="1:46" x14ac:dyDescent="0.3">
      <c r="B51" s="3">
        <f t="shared" si="12"/>
        <v>0.1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T51" s="3">
        <f t="shared" si="17"/>
        <v>0.2</v>
      </c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/>
      <c r="AI51" s="3">
        <f>$B$8</f>
        <v>0.1</v>
      </c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</row>
    <row r="52" spans="1:46" x14ac:dyDescent="0.3">
      <c r="AF52"/>
      <c r="AI52" s="3">
        <f>$B$9</f>
        <v>0.1</v>
      </c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</row>
    <row r="53" spans="1:46" x14ac:dyDescent="0.3">
      <c r="A53" s="4" t="s">
        <v>7</v>
      </c>
      <c r="B53" s="5">
        <f>E44 * (1 - E44) * (G44 * F53 + G46 * F54)</f>
        <v>-4.5910809937726825E-4</v>
      </c>
      <c r="C53" s="6"/>
      <c r="D53" s="6"/>
      <c r="E53" s="7"/>
      <c r="F53" s="5">
        <f>I44 * (1 - I44) * K44 *J53</f>
        <v>-1.9366199836824082E-3</v>
      </c>
      <c r="G53" s="6"/>
      <c r="H53" s="6"/>
      <c r="I53" s="7"/>
      <c r="J53" s="5">
        <f>Q47</f>
        <v>-0.15618178448420528</v>
      </c>
      <c r="K53" s="6"/>
      <c r="L53" s="6"/>
      <c r="M53" s="7"/>
      <c r="S53" s="4" t="s">
        <v>7</v>
      </c>
      <c r="T53" s="5">
        <f>W44 * (1 - W44) * (Y44 * X53 + Y46 * X54)</f>
        <v>-4.5810316585243293E-4</v>
      </c>
      <c r="U53" s="6"/>
      <c r="V53" s="6"/>
      <c r="W53" s="7"/>
      <c r="X53" s="5">
        <f>AA44 * (1 - AA44) * AC44 *AB53</f>
        <v>-1.9359814750522417E-3</v>
      </c>
      <c r="Y53" s="6"/>
      <c r="Z53" s="6"/>
      <c r="AA53" s="7"/>
      <c r="AB53" s="5">
        <f>Q47</f>
        <v>-0.15618178448420528</v>
      </c>
      <c r="AC53" s="6"/>
      <c r="AD53" s="6"/>
      <c r="AE53" s="7"/>
      <c r="AF53"/>
      <c r="AI53" s="3">
        <f>$B$10</f>
        <v>0.1</v>
      </c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</row>
    <row r="54" spans="1:46" x14ac:dyDescent="0.3">
      <c r="B54" s="5">
        <f>E45 * (1 - E45) * (G45 * F53 + G47 * F54)</f>
        <v>-6.4399053933580485E-4</v>
      </c>
      <c r="C54" s="6"/>
      <c r="D54" s="6"/>
      <c r="E54" s="7"/>
      <c r="F54" s="5">
        <f>J45 * (1 - J45) * K45 * J53</f>
        <v>-5.4872699986452424E-3</v>
      </c>
      <c r="G54" s="6"/>
      <c r="H54" s="6"/>
      <c r="I54" s="7"/>
      <c r="T54" s="5">
        <f>W45 * (1 - W45) * (Y45 * X53 + Y47 * X54)</f>
        <v>-6.4069680200585621E-4</v>
      </c>
      <c r="U54" s="6"/>
      <c r="V54" s="6"/>
      <c r="W54" s="7"/>
      <c r="X54" s="5">
        <f>AB45 * (1 - AB45) * AC45 * AB53</f>
        <v>-5.4781893785825165E-3</v>
      </c>
      <c r="Y54" s="6"/>
      <c r="Z54" s="6"/>
      <c r="AA54" s="7"/>
      <c r="AF54"/>
      <c r="AI54" s="3">
        <f>$B$11</f>
        <v>0.1</v>
      </c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</row>
    <row r="55" spans="1:46" x14ac:dyDescent="0.3">
      <c r="AF55"/>
    </row>
    <row r="56" spans="1:46" x14ac:dyDescent="0.3">
      <c r="B56" s="8" t="s">
        <v>4</v>
      </c>
      <c r="C56" s="8"/>
      <c r="D56" s="8"/>
      <c r="E56" s="8"/>
      <c r="F56" s="8" t="s">
        <v>5</v>
      </c>
      <c r="G56" s="8"/>
      <c r="H56" s="8"/>
      <c r="I56" s="8"/>
      <c r="J56" s="8" t="s">
        <v>6</v>
      </c>
      <c r="K56" s="8"/>
      <c r="L56" s="8"/>
      <c r="M56" s="8"/>
      <c r="T56" s="8" t="s">
        <v>4</v>
      </c>
      <c r="U56" s="8"/>
      <c r="V56" s="8"/>
      <c r="W56" s="8"/>
      <c r="X56" s="8" t="s">
        <v>5</v>
      </c>
      <c r="Y56" s="8"/>
      <c r="Z56" s="8"/>
      <c r="AA56" s="8"/>
      <c r="AB56" s="8" t="s">
        <v>6</v>
      </c>
      <c r="AC56" s="8"/>
      <c r="AD56" s="8"/>
      <c r="AE56" s="8"/>
      <c r="AF56"/>
    </row>
    <row r="57" spans="1:46" x14ac:dyDescent="0.3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O57" s="2" t="s">
        <v>0</v>
      </c>
      <c r="P57" s="2" t="s">
        <v>8</v>
      </c>
      <c r="Q57" s="2" t="s">
        <v>11</v>
      </c>
      <c r="R57" s="2" t="s">
        <v>10</v>
      </c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/>
    </row>
    <row r="58" spans="1:46" x14ac:dyDescent="0.3">
      <c r="B58" s="3" t="s">
        <v>0</v>
      </c>
      <c r="C58" s="3" t="s">
        <v>1</v>
      </c>
      <c r="D58" s="3" t="s">
        <v>2</v>
      </c>
      <c r="E58" s="3" t="s">
        <v>3</v>
      </c>
      <c r="F58" s="3" t="s">
        <v>0</v>
      </c>
      <c r="G58" s="3" t="s">
        <v>1</v>
      </c>
      <c r="H58" s="3" t="s">
        <v>2</v>
      </c>
      <c r="I58" s="3" t="s">
        <v>3</v>
      </c>
      <c r="J58" s="3" t="s">
        <v>0</v>
      </c>
      <c r="K58" s="3" t="s">
        <v>1</v>
      </c>
      <c r="L58" s="3" t="s">
        <v>2</v>
      </c>
      <c r="M58" s="3" t="s">
        <v>3</v>
      </c>
      <c r="O58" s="3">
        <v>0.1</v>
      </c>
      <c r="P58" s="3">
        <v>0.4</v>
      </c>
      <c r="Q58" s="3">
        <f>M1206</f>
        <v>0</v>
      </c>
      <c r="R58" s="3">
        <f>P58-Q58</f>
        <v>0.4</v>
      </c>
      <c r="T58" s="3" t="s">
        <v>0</v>
      </c>
      <c r="U58" s="3" t="s">
        <v>1</v>
      </c>
      <c r="V58" s="3" t="s">
        <v>2</v>
      </c>
      <c r="W58" s="3" t="s">
        <v>3</v>
      </c>
      <c r="X58" s="3" t="s">
        <v>0</v>
      </c>
      <c r="Y58" s="3" t="s">
        <v>1</v>
      </c>
      <c r="Z58" s="3" t="s">
        <v>2</v>
      </c>
      <c r="AA58" s="3" t="s">
        <v>3</v>
      </c>
      <c r="AB58" s="3" t="s">
        <v>0</v>
      </c>
      <c r="AC58" s="3" t="s">
        <v>1</v>
      </c>
      <c r="AD58" s="3" t="s">
        <v>2</v>
      </c>
      <c r="AE58" s="3" t="s">
        <v>3</v>
      </c>
      <c r="AF58"/>
    </row>
    <row r="59" spans="1:46" x14ac:dyDescent="0.3">
      <c r="B59" s="3">
        <f>$B$4</f>
        <v>0.1</v>
      </c>
      <c r="C59" s="3">
        <f>C44 + $O$7 * B44 * B53</f>
        <v>9.9971750619742755E-2</v>
      </c>
      <c r="D59" s="3">
        <f>B59*C59+B60*C60</f>
        <v>2.9994350123948556E-2</v>
      </c>
      <c r="E59" s="3">
        <f>1/(1+EXP(-D59))</f>
        <v>0.50749802539930555</v>
      </c>
      <c r="F59" s="3">
        <f>E59</f>
        <v>0.50749802539930555</v>
      </c>
      <c r="G59" s="3">
        <f>G44 + $O$7 * F44 * F53</f>
        <v>9.966407791420441E-2</v>
      </c>
      <c r="H59" s="3">
        <f>F59*G59+F60*G60</f>
        <v>0.15389789154266847</v>
      </c>
      <c r="I59" s="3">
        <f>1/(1+EXP(-H59))</f>
        <v>0.53839871472708045</v>
      </c>
      <c r="J59" s="3">
        <f>I59</f>
        <v>0.53839871472708045</v>
      </c>
      <c r="K59" s="3">
        <f>K44 + $O$7 * J44 * J53</f>
        <v>4.1484576871636439E-2</v>
      </c>
      <c r="L59" s="3">
        <f>J59*K59+J60*K60</f>
        <v>0.10234224448093859</v>
      </c>
      <c r="M59" s="3">
        <f>1/(1+EXP(-L59))</f>
        <v>0.52556325269362358</v>
      </c>
      <c r="O59" s="3">
        <v>0.2</v>
      </c>
      <c r="P59" s="3">
        <v>0.5</v>
      </c>
      <c r="Q59" s="3">
        <f>AE1206</f>
        <v>0</v>
      </c>
      <c r="R59" s="3">
        <f>P59-Q59</f>
        <v>0.5</v>
      </c>
      <c r="T59" s="3">
        <f>$O$19</f>
        <v>0.2</v>
      </c>
      <c r="U59" s="3">
        <f>C59</f>
        <v>9.9971750619742755E-2</v>
      </c>
      <c r="V59" s="3">
        <f>T59*U59+T60*U60</f>
        <v>5.9988700247897112E-2</v>
      </c>
      <c r="W59" s="3">
        <f>1/(1+EXP(-V59))</f>
        <v>0.51499267922182568</v>
      </c>
      <c r="X59" s="3">
        <f>W59</f>
        <v>0.51499267922182568</v>
      </c>
      <c r="Y59" s="3">
        <f>G59</f>
        <v>9.966407791420441E-2</v>
      </c>
      <c r="Z59" s="3">
        <f>X59*Y59+X60*Y60</f>
        <v>0.1581284027788577</v>
      </c>
      <c r="AA59" s="3">
        <f>1/(1+EXP(-Z59))</f>
        <v>0.53944993247691608</v>
      </c>
      <c r="AB59" s="3">
        <f>AA59</f>
        <v>0.53944993247691608</v>
      </c>
      <c r="AC59" s="3">
        <f>K59</f>
        <v>4.1484576871636439E-2</v>
      </c>
      <c r="AD59" s="3">
        <f>AB59*AC59+AB60*AC60</f>
        <v>0.10268865686347099</v>
      </c>
      <c r="AE59" s="3">
        <f>1/(1+EXP(-AD59))</f>
        <v>0.52564962864997178</v>
      </c>
      <c r="AF59"/>
    </row>
    <row r="60" spans="1:46" x14ac:dyDescent="0.3">
      <c r="B60" s="3">
        <f>$B$5</f>
        <v>0.1</v>
      </c>
      <c r="C60" s="3">
        <f>C45 + $O$7 * B45 * B53</f>
        <v>0.19997175061974279</v>
      </c>
      <c r="D60" s="3">
        <f>B59*C61+B60*C62</f>
        <v>6.9991962206437247E-2</v>
      </c>
      <c r="E60" s="3">
        <f>1/(1+EXP(-D60))</f>
        <v>0.51749085067728229</v>
      </c>
      <c r="F60" s="3">
        <f>E60</f>
        <v>0.51749085067728229</v>
      </c>
      <c r="G60" s="3">
        <f>G45 + $O$7 * F45 * F53</f>
        <v>0.19965293813938123</v>
      </c>
      <c r="H60" s="3">
        <f>F59*G61+F60*G62</f>
        <v>0.35847425543045042</v>
      </c>
      <c r="I60" s="3">
        <f>1/(1+EXP(-H60))</f>
        <v>0.5886710442116464</v>
      </c>
      <c r="J60" s="3">
        <f>I60</f>
        <v>0.5886710442116464</v>
      </c>
      <c r="K60" s="3">
        <f>K45 + $O$7* J45 * J53</f>
        <v>0.13591122308283207</v>
      </c>
      <c r="L60" s="3"/>
      <c r="M60" s="3"/>
      <c r="O60" s="3"/>
      <c r="P60" s="3"/>
      <c r="Q60" s="3"/>
      <c r="R60" s="3"/>
      <c r="T60" s="3">
        <f>$O$19</f>
        <v>0.2</v>
      </c>
      <c r="U60" s="3">
        <f t="shared" ref="U60:U62" si="18">C60</f>
        <v>0.19997175061974279</v>
      </c>
      <c r="V60" s="3">
        <f>T59*U61+T60*U62</f>
        <v>0.13998392441287449</v>
      </c>
      <c r="W60" s="3">
        <f>1/(1+EXP(-V60))</f>
        <v>0.53493894588763002</v>
      </c>
      <c r="X60" s="3">
        <f>W60</f>
        <v>0.53493894588763002</v>
      </c>
      <c r="Y60" s="3">
        <f t="shared" ref="Y60:Y62" si="19">G60</f>
        <v>0.19965293813938123</v>
      </c>
      <c r="Z60" s="3">
        <f>X59*Y61+X60*Y62</f>
        <v>0.36768300208143045</v>
      </c>
      <c r="AA60" s="3">
        <f>1/(1+EXP(-Z60))</f>
        <v>0.59089899163285353</v>
      </c>
      <c r="AB60" s="3">
        <f>AA60</f>
        <v>0.59089899163285353</v>
      </c>
      <c r="AC60" s="3">
        <f>K60</f>
        <v>0.13591122308283207</v>
      </c>
      <c r="AD60" s="3"/>
      <c r="AE60" s="3"/>
      <c r="AF60"/>
    </row>
    <row r="61" spans="1:46" x14ac:dyDescent="0.3">
      <c r="B61" s="3">
        <f>$B$6</f>
        <v>0.1</v>
      </c>
      <c r="C61" s="3">
        <f>C46 + $O$7 * B44 * B54</f>
        <v>0.29995981103218616</v>
      </c>
      <c r="D61" s="3"/>
      <c r="E61" s="3"/>
      <c r="F61" s="3"/>
      <c r="G61" s="3">
        <f>G46 + $O$7 * F44 * F54</f>
        <v>0.29925912701364527</v>
      </c>
      <c r="H61" s="3"/>
      <c r="I61" s="3"/>
      <c r="J61" s="3"/>
      <c r="K61" s="3"/>
      <c r="L61" s="3"/>
      <c r="M61" s="3"/>
      <c r="O61" s="3"/>
      <c r="P61" s="3"/>
      <c r="Q61" s="3"/>
      <c r="R61" s="3"/>
      <c r="T61" s="3">
        <f t="shared" ref="T61:T66" si="20">$O$19</f>
        <v>0.2</v>
      </c>
      <c r="U61" s="3">
        <f t="shared" si="18"/>
        <v>0.29995981103218616</v>
      </c>
      <c r="V61" s="3"/>
      <c r="W61" s="3"/>
      <c r="X61" s="3"/>
      <c r="Y61" s="3">
        <f t="shared" si="19"/>
        <v>0.29925912701364527</v>
      </c>
      <c r="Z61" s="3"/>
      <c r="AA61" s="3"/>
      <c r="AB61" s="3"/>
      <c r="AC61" s="3"/>
      <c r="AD61" s="3"/>
      <c r="AE61" s="3"/>
      <c r="AF61"/>
    </row>
    <row r="62" spans="1:46" x14ac:dyDescent="0.3">
      <c r="B62" s="3">
        <f>$B$7</f>
        <v>0.1</v>
      </c>
      <c r="C62" s="3">
        <f>C47 + $O$7 * B45* B54</f>
        <v>0.3999598110321862</v>
      </c>
      <c r="D62" s="3"/>
      <c r="E62" s="3"/>
      <c r="F62" s="3"/>
      <c r="G62" s="3">
        <f>G47 + $O$7 * F45* F54</f>
        <v>0.3992357335746326</v>
      </c>
      <c r="H62" s="3"/>
      <c r="I62" s="3"/>
      <c r="J62" s="3"/>
      <c r="K62" s="3"/>
      <c r="L62" s="3"/>
      <c r="M62" s="3"/>
      <c r="O62" s="3"/>
      <c r="P62" s="3"/>
      <c r="Q62" s="3"/>
      <c r="R62" s="3"/>
      <c r="T62" s="3">
        <f t="shared" si="20"/>
        <v>0.2</v>
      </c>
      <c r="U62" s="3">
        <f t="shared" si="18"/>
        <v>0.3999598110321862</v>
      </c>
      <c r="V62" s="3"/>
      <c r="W62" s="3"/>
      <c r="X62" s="3"/>
      <c r="Y62" s="3">
        <f t="shared" si="19"/>
        <v>0.3992357335746326</v>
      </c>
      <c r="Z62" s="3"/>
      <c r="AA62" s="3"/>
      <c r="AB62" s="3"/>
      <c r="AC62" s="3"/>
      <c r="AD62" s="3"/>
      <c r="AE62" s="3"/>
      <c r="AF62"/>
    </row>
    <row r="63" spans="1:46" x14ac:dyDescent="0.3">
      <c r="B63" s="3">
        <f>$B$8</f>
        <v>0.1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O63" s="3"/>
      <c r="P63" s="3"/>
      <c r="Q63" s="3"/>
      <c r="R63" s="3"/>
      <c r="T63" s="3">
        <f>$O$19</f>
        <v>0.2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/>
    </row>
    <row r="64" spans="1:46" x14ac:dyDescent="0.3">
      <c r="B64" s="3">
        <f>$B$9</f>
        <v>0.1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O64" s="3"/>
      <c r="P64" s="3"/>
      <c r="Q64" s="3"/>
      <c r="R64" s="3"/>
      <c r="T64" s="3">
        <f t="shared" si="20"/>
        <v>0.2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/>
    </row>
    <row r="65" spans="1:32" x14ac:dyDescent="0.3">
      <c r="B65" s="3">
        <f>$B$10</f>
        <v>0.1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O65" s="3"/>
      <c r="P65" s="3"/>
      <c r="Q65" s="3"/>
      <c r="R65" s="3"/>
      <c r="T65" s="3">
        <f t="shared" si="20"/>
        <v>0.2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/>
    </row>
    <row r="66" spans="1:32" x14ac:dyDescent="0.3">
      <c r="B66" s="3">
        <f>$B$11</f>
        <v>0.1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O66" s="3"/>
      <c r="P66" s="3"/>
      <c r="Q66" s="3"/>
      <c r="R66" s="3"/>
      <c r="T66" s="3">
        <f t="shared" si="20"/>
        <v>0.2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/>
    </row>
    <row r="67" spans="1:32" x14ac:dyDescent="0.3">
      <c r="AF67"/>
    </row>
    <row r="68" spans="1:32" x14ac:dyDescent="0.3">
      <c r="AF68"/>
    </row>
    <row r="69" spans="1:32" x14ac:dyDescent="0.3">
      <c r="T69" s="8" t="s">
        <v>4</v>
      </c>
      <c r="U69" s="8"/>
      <c r="V69" s="8"/>
      <c r="W69" s="8"/>
      <c r="X69" s="8" t="s">
        <v>5</v>
      </c>
      <c r="Y69" s="8"/>
      <c r="Z69" s="8"/>
      <c r="AA69" s="8"/>
      <c r="AB69" s="8" t="s">
        <v>6</v>
      </c>
      <c r="AC69" s="8"/>
      <c r="AD69" s="8"/>
      <c r="AE69" s="8"/>
      <c r="AF69"/>
    </row>
    <row r="70" spans="1:32" x14ac:dyDescent="0.3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/>
    </row>
    <row r="71" spans="1:32" x14ac:dyDescent="0.3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 s="3" t="s">
        <v>0</v>
      </c>
      <c r="U71" s="3" t="s">
        <v>1</v>
      </c>
      <c r="V71" s="3" t="s">
        <v>2</v>
      </c>
      <c r="W71" s="3" t="s">
        <v>3</v>
      </c>
      <c r="X71" s="3" t="s">
        <v>0</v>
      </c>
      <c r="Y71" s="3" t="s">
        <v>1</v>
      </c>
      <c r="Z71" s="3" t="s">
        <v>2</v>
      </c>
      <c r="AA71" s="3" t="s">
        <v>3</v>
      </c>
      <c r="AB71" s="3" t="s">
        <v>0</v>
      </c>
      <c r="AC71" s="3" t="s">
        <v>1</v>
      </c>
      <c r="AD71" s="3" t="s">
        <v>2</v>
      </c>
      <c r="AE71" s="3" t="s">
        <v>3</v>
      </c>
      <c r="AF71"/>
    </row>
    <row r="72" spans="1:32" x14ac:dyDescent="0.3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 s="3">
        <f>$O$19</f>
        <v>0.2</v>
      </c>
      <c r="U72" s="3">
        <f>U59 + $O$7 * T44 * T53</f>
        <v>9.9962588556425702E-2</v>
      </c>
      <c r="V72" s="3">
        <f>T72*U72+T73*U73</f>
        <v>5.998503542257029E-2</v>
      </c>
      <c r="W72" s="3">
        <f>1/(1+EXP(-V72))</f>
        <v>0.51499176383922474</v>
      </c>
      <c r="X72" s="3">
        <f>W72</f>
        <v>0.51499176383922474</v>
      </c>
      <c r="Y72" s="3">
        <f>Y44 + $O$7 * X44 * X53</f>
        <v>9.9662659322938427E-2</v>
      </c>
      <c r="Z72" s="3">
        <f>X72*Y72+X73*Y73</f>
        <v>0.15812553706686269</v>
      </c>
      <c r="AA72" s="3">
        <f>1/(1+EXP(-Z72))</f>
        <v>0.53944922050873634</v>
      </c>
      <c r="AB72" s="3">
        <f>AA72</f>
        <v>0.53944922050873634</v>
      </c>
      <c r="AC72" s="3">
        <f>AC44 + $P$19 * AB44 * AB53</f>
        <v>7.7656273043187549E-3</v>
      </c>
      <c r="AD72" s="3">
        <f>AB72*AC72+AB73*AC73</f>
        <v>6.2662497426422187E-2</v>
      </c>
      <c r="AE72" s="3">
        <f>1/(1+EXP(-AD72))</f>
        <v>0.5156605003301109</v>
      </c>
      <c r="AF72"/>
    </row>
    <row r="73" spans="1:32" x14ac:dyDescent="0.3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 s="3">
        <f t="shared" ref="T73:T79" si="21">$O$19</f>
        <v>0.2</v>
      </c>
      <c r="U73" s="3">
        <f>U60 + $O$7 * T44 * T53</f>
        <v>0.19996258855642574</v>
      </c>
      <c r="V73" s="3">
        <f>T72*U74+T73*U75</f>
        <v>0.13997879883845843</v>
      </c>
      <c r="W73" s="3">
        <f>1/(1+EXP(-V73))</f>
        <v>0.53493767075073972</v>
      </c>
      <c r="X73" s="3">
        <f>W73</f>
        <v>0.53493767075073972</v>
      </c>
      <c r="Y73" s="3">
        <f>Y45 + $O$7 * X45 * X53</f>
        <v>0.19964959320092376</v>
      </c>
      <c r="Z73" s="3">
        <f>X72*Y74+X73*Y75</f>
        <v>0.36767548005473738</v>
      </c>
      <c r="AA73" s="3">
        <f>1/(1+EXP(-Z73))</f>
        <v>0.59089717327663538</v>
      </c>
      <c r="AB73" s="3">
        <f>AA73</f>
        <v>0.59089717327663538</v>
      </c>
      <c r="AC73" s="3">
        <f>AC45 + $P$19 * AB45 * AB53</f>
        <v>9.895687181257018E-2</v>
      </c>
      <c r="AD73" s="3"/>
      <c r="AE73" s="3"/>
      <c r="AF73"/>
    </row>
    <row r="74" spans="1:32" x14ac:dyDescent="0.3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 s="3">
        <f t="shared" si="21"/>
        <v>0.2</v>
      </c>
      <c r="U74" s="3">
        <f>U61 + $O$7 * T44 * T54</f>
        <v>0.29994699709614603</v>
      </c>
      <c r="V74" s="3"/>
      <c r="W74" s="3"/>
      <c r="X74" s="3"/>
      <c r="Y74" s="3">
        <f>Y46 + $O$7 * X44 * X54</f>
        <v>0.29925548201467594</v>
      </c>
      <c r="Z74" s="3"/>
      <c r="AA74" s="3"/>
      <c r="AB74" s="3"/>
      <c r="AC74" s="3"/>
      <c r="AD74" s="3"/>
      <c r="AE74" s="3"/>
      <c r="AF74"/>
    </row>
    <row r="75" spans="1:32" x14ac:dyDescent="0.3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 s="3">
        <f t="shared" si="21"/>
        <v>0.2</v>
      </c>
      <c r="U75" s="3">
        <f>U62 + $O$7 * T44 * T54</f>
        <v>0.39994699709614606</v>
      </c>
      <c r="V75" s="3"/>
      <c r="W75" s="3"/>
      <c r="X75" s="3"/>
      <c r="Y75" s="3">
        <f>Y47 + $O$7 * X45* X54</f>
        <v>0.39922664491683063</v>
      </c>
      <c r="Z75" s="3"/>
      <c r="AA75" s="3"/>
      <c r="AB75" s="3"/>
      <c r="AC75" s="3"/>
      <c r="AD75" s="3"/>
      <c r="AE75" s="3"/>
      <c r="AF75"/>
    </row>
    <row r="76" spans="1:32" x14ac:dyDescent="0.3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 s="3">
        <f t="shared" si="21"/>
        <v>0.2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/>
    </row>
    <row r="77" spans="1:32" x14ac:dyDescent="0.3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 s="3">
        <f t="shared" si="21"/>
        <v>0.2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/>
    </row>
    <row r="78" spans="1:32" x14ac:dyDescent="0.3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 s="3">
        <f t="shared" si="21"/>
        <v>0.2</v>
      </c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/>
    </row>
    <row r="79" spans="1:32" x14ac:dyDescent="0.3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 s="3">
        <f t="shared" si="21"/>
        <v>0.2</v>
      </c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/>
    </row>
    <row r="80" spans="1:32" x14ac:dyDescent="0.3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</row>
    <row r="81" spans="1:32" x14ac:dyDescent="0.3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</row>
    <row r="82" spans="1:32" x14ac:dyDescent="0.3">
      <c r="B82" s="8" t="s">
        <v>4</v>
      </c>
      <c r="C82" s="8"/>
      <c r="D82" s="8"/>
      <c r="E82" s="8"/>
      <c r="F82" s="8" t="s">
        <v>5</v>
      </c>
      <c r="G82" s="8"/>
      <c r="H82" s="8"/>
      <c r="I82" s="8"/>
      <c r="J82" s="8" t="s">
        <v>6</v>
      </c>
      <c r="K82" s="8"/>
      <c r="L82" s="8"/>
      <c r="M82" s="8"/>
      <c r="T82" s="8" t="s">
        <v>4</v>
      </c>
      <c r="U82" s="8"/>
      <c r="V82" s="8"/>
      <c r="W82" s="8"/>
      <c r="X82" s="8" t="s">
        <v>5</v>
      </c>
      <c r="Y82" s="8"/>
      <c r="Z82" s="8"/>
      <c r="AA82" s="8"/>
      <c r="AB82" s="8" t="s">
        <v>6</v>
      </c>
      <c r="AC82" s="8"/>
      <c r="AD82" s="8"/>
      <c r="AE82" s="8"/>
      <c r="AF82"/>
    </row>
    <row r="83" spans="1:32" x14ac:dyDescent="0.3"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/>
    </row>
    <row r="84" spans="1:32" x14ac:dyDescent="0.3">
      <c r="B84" s="3" t="s">
        <v>0</v>
      </c>
      <c r="C84" s="3" t="s">
        <v>1</v>
      </c>
      <c r="D84" s="3" t="s">
        <v>2</v>
      </c>
      <c r="E84" s="3" t="s">
        <v>3</v>
      </c>
      <c r="F84" s="3" t="s">
        <v>0</v>
      </c>
      <c r="G84" s="3" t="s">
        <v>1</v>
      </c>
      <c r="H84" s="3" t="s">
        <v>2</v>
      </c>
      <c r="I84" s="3" t="s">
        <v>3</v>
      </c>
      <c r="J84" s="3" t="s">
        <v>0</v>
      </c>
      <c r="K84" s="3" t="s">
        <v>1</v>
      </c>
      <c r="L84" s="3" t="s">
        <v>2</v>
      </c>
      <c r="M84" s="3" t="s">
        <v>3</v>
      </c>
      <c r="T84" s="3" t="s">
        <v>0</v>
      </c>
      <c r="U84" s="3" t="s">
        <v>1</v>
      </c>
      <c r="V84" s="3" t="s">
        <v>2</v>
      </c>
      <c r="W84" s="3" t="s">
        <v>3</v>
      </c>
      <c r="X84" s="3" t="s">
        <v>0</v>
      </c>
      <c r="Y84" s="3" t="s">
        <v>1</v>
      </c>
      <c r="Z84" s="3" t="s">
        <v>2</v>
      </c>
      <c r="AA84" s="3" t="s">
        <v>3</v>
      </c>
      <c r="AB84" s="3" t="s">
        <v>0</v>
      </c>
      <c r="AC84" s="3" t="s">
        <v>1</v>
      </c>
      <c r="AD84" s="3" t="s">
        <v>2</v>
      </c>
      <c r="AE84" s="3" t="s">
        <v>3</v>
      </c>
      <c r="AF84"/>
    </row>
    <row r="85" spans="1:32" x14ac:dyDescent="0.3">
      <c r="B85" s="3">
        <f>$O$18</f>
        <v>0.1</v>
      </c>
      <c r="C85" s="3">
        <f>U73</f>
        <v>0.19996258855642574</v>
      </c>
      <c r="D85" s="3">
        <f>B85*C85+B86*C86</f>
        <v>4.9990958565257176E-2</v>
      </c>
      <c r="E85" s="3">
        <f>1/(1+EXP(-D85))</f>
        <v>0.51249513753740517</v>
      </c>
      <c r="F85" s="3">
        <f>E85</f>
        <v>0.51249513753740517</v>
      </c>
      <c r="G85" s="3">
        <f>Y73</f>
        <v>0.19964959320092376</v>
      </c>
      <c r="H85" s="3">
        <f>F85*G85+F86*G86</f>
        <v>0.2549389462341129</v>
      </c>
      <c r="I85" s="3">
        <f>1/(1+EXP(-H85))</f>
        <v>0.56339176822440307</v>
      </c>
      <c r="J85" s="3">
        <f>I85</f>
        <v>0.56339176822440307</v>
      </c>
      <c r="K85" s="3">
        <f>AC73</f>
        <v>9.895687181257018E-2</v>
      </c>
      <c r="L85" s="3">
        <f>J85*K85+J86*K86</f>
        <v>5.5751486988439507E-2</v>
      </c>
      <c r="M85" s="3">
        <f>1/(1+EXP(-L85))</f>
        <v>0.51393426269492937</v>
      </c>
      <c r="T85" s="3">
        <f>$O$19</f>
        <v>0.2</v>
      </c>
      <c r="U85" s="3">
        <f>C85</f>
        <v>0.19996258855642574</v>
      </c>
      <c r="V85" s="3">
        <f>T85*U85+T86*U86</f>
        <v>9.9981917130514353E-2</v>
      </c>
      <c r="W85" s="3">
        <f>1/(1+EXP(-V85))</f>
        <v>0.52497467804251563</v>
      </c>
      <c r="X85" s="3">
        <f>W85</f>
        <v>0.52497467804251563</v>
      </c>
      <c r="Y85" s="3">
        <f>G85</f>
        <v>0.19964959320092376</v>
      </c>
      <c r="Z85" s="3">
        <f>X85*Y85+X86*Y86</f>
        <v>0.26041984973964177</v>
      </c>
      <c r="AA85" s="3">
        <f>1/(1+EXP(-Z85))</f>
        <v>0.56473949736635309</v>
      </c>
      <c r="AB85" s="3">
        <f>AA85</f>
        <v>0.56473949736635309</v>
      </c>
      <c r="AC85" s="3">
        <f>K85</f>
        <v>9.895687181257018E-2</v>
      </c>
      <c r="AD85" s="3">
        <f>AB85*AC85+AB86*AC86</f>
        <v>5.5884854048377515E-2</v>
      </c>
      <c r="AE85" s="3">
        <f>1/(1+EXP(-AD85))</f>
        <v>0.51396757850291264</v>
      </c>
      <c r="AF85"/>
    </row>
    <row r="86" spans="1:32" x14ac:dyDescent="0.3">
      <c r="B86" s="3">
        <f t="shared" ref="B86:B92" si="22">$O$18</f>
        <v>0.1</v>
      </c>
      <c r="C86" s="3">
        <f t="shared" ref="C86:C88" si="23">U74</f>
        <v>0.29994699709614603</v>
      </c>
      <c r="D86" s="3">
        <f>B85*C87+B86*C88</f>
        <v>3.9994699709614612E-2</v>
      </c>
      <c r="E86" s="3">
        <f>1/(1+EXP(-D86))</f>
        <v>0.50999734233718663</v>
      </c>
      <c r="F86" s="3">
        <f>E86</f>
        <v>0.50999734233718663</v>
      </c>
      <c r="G86" s="3">
        <f t="shared" ref="G86:G88" si="24">Y74</f>
        <v>0.29925548201467594</v>
      </c>
      <c r="H86" s="3">
        <f>F85*G87+F86*G88</f>
        <v>0.20460171429524793</v>
      </c>
      <c r="I86" s="3">
        <f>1/(1+EXP(-H86))</f>
        <v>0.55097273471663544</v>
      </c>
      <c r="J86" s="3">
        <f>I86</f>
        <v>0.55097273471663544</v>
      </c>
      <c r="K86" s="3">
        <f>AC74</f>
        <v>0</v>
      </c>
      <c r="L86" s="3"/>
      <c r="M86" s="3"/>
      <c r="T86" s="3">
        <f>$O$19</f>
        <v>0.2</v>
      </c>
      <c r="U86" s="3">
        <f t="shared" ref="U86:U88" si="25">C86</f>
        <v>0.29994699709614603</v>
      </c>
      <c r="V86" s="3">
        <f>T85*U87+T86*U88</f>
        <v>7.9989399419229223E-2</v>
      </c>
      <c r="W86" s="3">
        <f>1/(1+EXP(-V86))</f>
        <v>0.519986694245542</v>
      </c>
      <c r="X86" s="3">
        <f>W86</f>
        <v>0.519986694245542</v>
      </c>
      <c r="Y86" s="3">
        <f t="shared" ref="Y86:Y88" si="26">G86</f>
        <v>0.29925548201467594</v>
      </c>
      <c r="Z86" s="3">
        <f>X85*Y87+X86*Y88</f>
        <v>0.20958387938120687</v>
      </c>
      <c r="AA86" s="3">
        <f>1/(1+EXP(-Z86))</f>
        <v>0.55220501573635061</v>
      </c>
      <c r="AB86" s="3">
        <f>AA86</f>
        <v>0.55220501573635061</v>
      </c>
      <c r="AC86" s="3">
        <f>K86</f>
        <v>0</v>
      </c>
      <c r="AD86" s="3"/>
      <c r="AE86" s="3"/>
      <c r="AF86"/>
    </row>
    <row r="87" spans="1:32" x14ac:dyDescent="0.3">
      <c r="B87" s="3">
        <f t="shared" si="22"/>
        <v>0.1</v>
      </c>
      <c r="C87" s="3">
        <f t="shared" si="23"/>
        <v>0.39994699709614606</v>
      </c>
      <c r="D87" s="3"/>
      <c r="E87" s="3"/>
      <c r="F87" s="3"/>
      <c r="G87" s="3">
        <f t="shared" si="24"/>
        <v>0.39922664491683063</v>
      </c>
      <c r="H87" s="3"/>
      <c r="I87" s="3"/>
      <c r="J87" s="3"/>
      <c r="K87" s="3"/>
      <c r="L87" s="3"/>
      <c r="M87" s="3"/>
      <c r="O87" s="2" t="s">
        <v>9</v>
      </c>
      <c r="Q87" s="1">
        <f>$P$18-M85</f>
        <v>-0.11393426269492934</v>
      </c>
      <c r="R87" s="1">
        <f>$P$19 - AE85</f>
        <v>-1.3967578502912636E-2</v>
      </c>
      <c r="T87" s="3">
        <f t="shared" ref="T87:T92" si="27">$O$19</f>
        <v>0.2</v>
      </c>
      <c r="U87" s="3">
        <f t="shared" si="25"/>
        <v>0.39994699709614606</v>
      </c>
      <c r="V87" s="3"/>
      <c r="W87" s="3"/>
      <c r="X87" s="3"/>
      <c r="Y87" s="3">
        <f t="shared" si="26"/>
        <v>0.39922664491683063</v>
      </c>
      <c r="Z87" s="3"/>
      <c r="AA87" s="3"/>
      <c r="AB87" s="3"/>
      <c r="AC87" s="3"/>
      <c r="AD87" s="3"/>
      <c r="AE87" s="3"/>
      <c r="AF87"/>
    </row>
    <row r="88" spans="1:32" x14ac:dyDescent="0.3">
      <c r="B88" s="3">
        <f t="shared" si="22"/>
        <v>0.1</v>
      </c>
      <c r="C88" s="3">
        <f t="shared" si="23"/>
        <v>0</v>
      </c>
      <c r="D88" s="3"/>
      <c r="E88" s="3"/>
      <c r="F88" s="3"/>
      <c r="G88" s="3">
        <f t="shared" si="24"/>
        <v>0</v>
      </c>
      <c r="H88" s="3"/>
      <c r="I88" s="3"/>
      <c r="J88" s="3"/>
      <c r="K88" s="3"/>
      <c r="L88" s="3"/>
      <c r="M88" s="3"/>
      <c r="O88" s="3">
        <v>0.1</v>
      </c>
      <c r="Q88" s="1">
        <f>SUM(Q87,R87)</f>
        <v>-0.12790184119784198</v>
      </c>
      <c r="T88" s="3">
        <f t="shared" si="27"/>
        <v>0.2</v>
      </c>
      <c r="U88" s="3">
        <f t="shared" si="25"/>
        <v>0</v>
      </c>
      <c r="V88" s="3"/>
      <c r="W88" s="3"/>
      <c r="X88" s="3"/>
      <c r="Y88" s="3">
        <f t="shared" si="26"/>
        <v>0</v>
      </c>
      <c r="Z88" s="3"/>
      <c r="AA88" s="3"/>
      <c r="AB88" s="3"/>
      <c r="AC88" s="3"/>
      <c r="AD88" s="3"/>
      <c r="AE88" s="3"/>
      <c r="AF88"/>
    </row>
    <row r="89" spans="1:32" x14ac:dyDescent="0.3">
      <c r="B89" s="3">
        <f t="shared" si="22"/>
        <v>0.1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T89" s="3">
        <f>$O$19</f>
        <v>0.2</v>
      </c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/>
    </row>
    <row r="90" spans="1:32" x14ac:dyDescent="0.3">
      <c r="B90" s="3">
        <f t="shared" si="22"/>
        <v>0.1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T90" s="3">
        <f t="shared" si="27"/>
        <v>0.2</v>
      </c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/>
    </row>
    <row r="91" spans="1:32" x14ac:dyDescent="0.3">
      <c r="B91" s="3">
        <f t="shared" si="22"/>
        <v>0.1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T91" s="3">
        <f t="shared" si="27"/>
        <v>0.2</v>
      </c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/>
    </row>
    <row r="92" spans="1:32" x14ac:dyDescent="0.3">
      <c r="B92" s="3">
        <f t="shared" si="22"/>
        <v>0.1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T92" s="3">
        <f t="shared" si="27"/>
        <v>0.2</v>
      </c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/>
    </row>
    <row r="93" spans="1:32" x14ac:dyDescent="0.3">
      <c r="AF93"/>
    </row>
    <row r="94" spans="1:32" x14ac:dyDescent="0.3">
      <c r="A94" s="4" t="s">
        <v>7</v>
      </c>
      <c r="B94" s="5">
        <f>E85 * (1 - E85) * (G85 * F94 + G87 * F95)</f>
        <v>-1.5529672669701105E-4</v>
      </c>
      <c r="C94" s="6"/>
      <c r="D94" s="6"/>
      <c r="E94" s="7"/>
      <c r="F94" s="5">
        <f>I85 * (1 - I85) * K85 *J94</f>
        <v>-3.113330105378048E-3</v>
      </c>
      <c r="G94" s="6"/>
      <c r="H94" s="6"/>
      <c r="I94" s="7"/>
      <c r="J94" s="5">
        <f>Q88</f>
        <v>-0.12790184119784198</v>
      </c>
      <c r="K94" s="6"/>
      <c r="L94" s="6"/>
      <c r="M94" s="7"/>
      <c r="S94" s="4" t="s">
        <v>7</v>
      </c>
      <c r="T94" s="5">
        <f>W85 * (1 - W85) * (Y85 * X94 + Y87 * X95)</f>
        <v>-1.5489725557947323E-4</v>
      </c>
      <c r="U94" s="6"/>
      <c r="V94" s="6"/>
      <c r="W94" s="7"/>
      <c r="X94" s="5">
        <f>AA85 * (1 - AA85) * AC85 *AB94</f>
        <v>-3.1111444560209937E-3</v>
      </c>
      <c r="Y94" s="6"/>
      <c r="Z94" s="6"/>
      <c r="AA94" s="7"/>
      <c r="AB94" s="5">
        <f>Q88</f>
        <v>-0.12790184119784198</v>
      </c>
      <c r="AC94" s="6"/>
      <c r="AD94" s="6"/>
      <c r="AE94" s="7"/>
      <c r="AF94"/>
    </row>
    <row r="95" spans="1:32" x14ac:dyDescent="0.3">
      <c r="B95" s="5">
        <f>E86 * (1 - E86) * (G86 * F94 + G88 * F95)</f>
        <v>-2.3282715674409555E-4</v>
      </c>
      <c r="C95" s="6"/>
      <c r="D95" s="6"/>
      <c r="E95" s="7"/>
      <c r="F95" s="5">
        <f>J86 * (1 - J86) * K86 * J94</f>
        <v>0</v>
      </c>
      <c r="G95" s="6"/>
      <c r="H95" s="6"/>
      <c r="I95" s="7"/>
      <c r="T95" s="5">
        <f>W86 * (1 - W86) * (Y86 * X94 + Y88 * X95)</f>
        <v>-2.3238484299329307E-4</v>
      </c>
      <c r="U95" s="6"/>
      <c r="V95" s="6"/>
      <c r="W95" s="7"/>
      <c r="X95" s="5">
        <f>AB86 * (1 - AB86) * AC86 * AB94</f>
        <v>0</v>
      </c>
      <c r="Y95" s="6"/>
      <c r="Z95" s="6"/>
      <c r="AA95" s="7"/>
      <c r="AF95"/>
    </row>
    <row r="96" spans="1:32" x14ac:dyDescent="0.3">
      <c r="AF96"/>
    </row>
    <row r="97" spans="1:32" x14ac:dyDescent="0.3">
      <c r="B97" s="8" t="s">
        <v>4</v>
      </c>
      <c r="C97" s="8"/>
      <c r="D97" s="8"/>
      <c r="E97" s="8"/>
      <c r="F97" s="8" t="s">
        <v>5</v>
      </c>
      <c r="G97" s="8"/>
      <c r="H97" s="8"/>
      <c r="I97" s="8"/>
      <c r="J97" s="8" t="s">
        <v>6</v>
      </c>
      <c r="K97" s="8"/>
      <c r="L97" s="8"/>
      <c r="M97" s="8"/>
      <c r="T97" s="8" t="s">
        <v>4</v>
      </c>
      <c r="U97" s="8"/>
      <c r="V97" s="8"/>
      <c r="W97" s="8"/>
      <c r="X97" s="8" t="s">
        <v>5</v>
      </c>
      <c r="Y97" s="8"/>
      <c r="Z97" s="8"/>
      <c r="AA97" s="8"/>
      <c r="AB97" s="8" t="s">
        <v>6</v>
      </c>
      <c r="AC97" s="8"/>
      <c r="AD97" s="8"/>
      <c r="AE97" s="8"/>
      <c r="AF97"/>
    </row>
    <row r="98" spans="1:32" x14ac:dyDescent="0.3"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O98" s="2" t="s">
        <v>0</v>
      </c>
      <c r="P98" s="2" t="s">
        <v>8</v>
      </c>
      <c r="Q98" s="2" t="s">
        <v>11</v>
      </c>
      <c r="R98" s="2" t="s">
        <v>10</v>
      </c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/>
    </row>
    <row r="99" spans="1:32" x14ac:dyDescent="0.3">
      <c r="B99" s="3" t="s">
        <v>0</v>
      </c>
      <c r="C99" s="3" t="s">
        <v>1</v>
      </c>
      <c r="D99" s="3" t="s">
        <v>2</v>
      </c>
      <c r="E99" s="3" t="s">
        <v>3</v>
      </c>
      <c r="F99" s="3" t="s">
        <v>0</v>
      </c>
      <c r="G99" s="3" t="s">
        <v>1</v>
      </c>
      <c r="H99" s="3" t="s">
        <v>2</v>
      </c>
      <c r="I99" s="3" t="s">
        <v>3</v>
      </c>
      <c r="J99" s="3" t="s">
        <v>0</v>
      </c>
      <c r="K99" s="3" t="s">
        <v>1</v>
      </c>
      <c r="L99" s="3" t="s">
        <v>2</v>
      </c>
      <c r="M99" s="3" t="s">
        <v>3</v>
      </c>
      <c r="O99" s="3">
        <v>0.1</v>
      </c>
      <c r="P99" s="3">
        <v>0.4</v>
      </c>
      <c r="Q99" s="3">
        <f>M1247</f>
        <v>0</v>
      </c>
      <c r="R99" s="3">
        <f>P99-Q99</f>
        <v>0.4</v>
      </c>
      <c r="T99" s="3" t="s">
        <v>0</v>
      </c>
      <c r="U99" s="3" t="s">
        <v>1</v>
      </c>
      <c r="V99" s="3" t="s">
        <v>2</v>
      </c>
      <c r="W99" s="3" t="s">
        <v>3</v>
      </c>
      <c r="X99" s="3" t="s">
        <v>0</v>
      </c>
      <c r="Y99" s="3" t="s">
        <v>1</v>
      </c>
      <c r="Z99" s="3" t="s">
        <v>2</v>
      </c>
      <c r="AA99" s="3" t="s">
        <v>3</v>
      </c>
      <c r="AB99" s="3" t="s">
        <v>0</v>
      </c>
      <c r="AC99" s="3" t="s">
        <v>1</v>
      </c>
      <c r="AD99" s="3" t="s">
        <v>2</v>
      </c>
      <c r="AE99" s="3" t="s">
        <v>3</v>
      </c>
      <c r="AF99"/>
    </row>
    <row r="100" spans="1:32" x14ac:dyDescent="0.3">
      <c r="B100" s="3">
        <f>$B$4</f>
        <v>0.1</v>
      </c>
      <c r="C100" s="3">
        <f>C85 + $O$7 * B85 * B94</f>
        <v>0.19996103558915876</v>
      </c>
      <c r="D100" s="3">
        <f>B100*C100+B101*C101</f>
        <v>4.9990647971803789E-2</v>
      </c>
      <c r="E100" s="3">
        <f>1/(1+EXP(-D100))</f>
        <v>0.51249505993753397</v>
      </c>
      <c r="F100" s="3">
        <f>E100</f>
        <v>0.51249505993753397</v>
      </c>
      <c r="G100" s="3">
        <f>G85 + $O$7 * F85 * F94</f>
        <v>0.19949003654686825</v>
      </c>
      <c r="H100" s="3">
        <f>F100*G100+F101*G101</f>
        <v>0.25477614706727253</v>
      </c>
      <c r="I100" s="3">
        <f>1/(1+EXP(-H100))</f>
        <v>0.5633517222306037</v>
      </c>
      <c r="J100" s="3">
        <f>I100</f>
        <v>0.5633517222306037</v>
      </c>
      <c r="K100" s="3">
        <f>K85 + $O$7 * J85 * J94</f>
        <v>9.1750987365409278E-2</v>
      </c>
      <c r="L100" s="3">
        <f>J100*K100+J101*K101</f>
        <v>4.7805348402464642E-2</v>
      </c>
      <c r="M100" s="3">
        <f>1/(1+EXP(-L100))</f>
        <v>0.51194906153697695</v>
      </c>
      <c r="O100" s="3">
        <v>0.2</v>
      </c>
      <c r="P100" s="3">
        <v>0.5</v>
      </c>
      <c r="Q100" s="3">
        <f>AE1247</f>
        <v>0</v>
      </c>
      <c r="R100" s="3">
        <f>P100-Q100</f>
        <v>0.5</v>
      </c>
      <c r="T100" s="3">
        <f>$O$19</f>
        <v>0.2</v>
      </c>
      <c r="U100" s="3">
        <f>C100</f>
        <v>0.19996103558915876</v>
      </c>
      <c r="V100" s="3">
        <f>T100*U100+T101*U101</f>
        <v>9.9981295943607579E-2</v>
      </c>
      <c r="W100" s="3">
        <f>1/(1+EXP(-V100))</f>
        <v>0.52497452313324222</v>
      </c>
      <c r="X100" s="3">
        <f>W100</f>
        <v>0.52497452313324222</v>
      </c>
      <c r="Y100" s="3">
        <f>G100</f>
        <v>0.19949003654686825</v>
      </c>
      <c r="Z100" s="3">
        <f>X100*Y100+X101*Y101</f>
        <v>0.26025342313566613</v>
      </c>
      <c r="AA100" s="3">
        <f>1/(1+EXP(-Z100))</f>
        <v>0.56469858780228055</v>
      </c>
      <c r="AB100" s="3">
        <f>AA100</f>
        <v>0.56469858780228055</v>
      </c>
      <c r="AC100" s="3">
        <f>K100</f>
        <v>9.1750987365409278E-2</v>
      </c>
      <c r="AD100" s="3">
        <f>AB100*AC100+AB101*AC101</f>
        <v>4.7920240765277428E-2</v>
      </c>
      <c r="AE100" s="3">
        <f>1/(1+EXP(-AD100))</f>
        <v>0.51197776818389873</v>
      </c>
      <c r="AF100"/>
    </row>
    <row r="101" spans="1:32" x14ac:dyDescent="0.3">
      <c r="B101" s="3">
        <f>$B$5</f>
        <v>0.1</v>
      </c>
      <c r="C101" s="3">
        <f>C86 + $O$7 * B86 * B94</f>
        <v>0.29994544412887908</v>
      </c>
      <c r="D101" s="3">
        <f>B100*C102+B101*C103</f>
        <v>3.9994234055301121E-2</v>
      </c>
      <c r="E101" s="3">
        <f>1/(1+EXP(-D101))</f>
        <v>0.5099972259701484</v>
      </c>
      <c r="F101" s="3">
        <f>E101</f>
        <v>0.5099972259701484</v>
      </c>
      <c r="G101" s="3">
        <f>G86 + $O$7 * F86 * F94</f>
        <v>0.29909670300671981</v>
      </c>
      <c r="H101" s="3">
        <f>F100*G102+F101*G103</f>
        <v>0.2046016833153117</v>
      </c>
      <c r="I101" s="3">
        <f>1/(1+EXP(-H101))</f>
        <v>0.55097272705214406</v>
      </c>
      <c r="J101" s="3">
        <f>I101</f>
        <v>0.55097272705214406</v>
      </c>
      <c r="K101" s="3">
        <f>K86 + $O$7* J86 * J94</f>
        <v>-7.0470427220067824E-3</v>
      </c>
      <c r="L101" s="3"/>
      <c r="M101" s="3"/>
      <c r="O101" s="3"/>
      <c r="P101" s="3"/>
      <c r="Q101" s="3"/>
      <c r="R101" s="3"/>
      <c r="T101" s="3">
        <f>$O$19</f>
        <v>0.2</v>
      </c>
      <c r="U101" s="3">
        <f t="shared" ref="U101:U103" si="28">C101</f>
        <v>0.29994544412887908</v>
      </c>
      <c r="V101" s="3">
        <f>T100*U102+T101*U103</f>
        <v>7.9988468110602243E-2</v>
      </c>
      <c r="W101" s="3">
        <f>1/(1+EXP(-V101))</f>
        <v>0.51998646179040875</v>
      </c>
      <c r="X101" s="3">
        <f>W101</f>
        <v>0.51998646179040875</v>
      </c>
      <c r="Y101" s="3">
        <f t="shared" ref="Y101:Y103" si="29">G101</f>
        <v>0.29909670300671981</v>
      </c>
      <c r="Z101" s="3">
        <f>X100*Y102+X101*Y103</f>
        <v>0.20958381753729738</v>
      </c>
      <c r="AA101" s="3">
        <f>1/(1+EXP(-Z101))</f>
        <v>0.55220500044392029</v>
      </c>
      <c r="AB101" s="3">
        <f>AA101</f>
        <v>0.55220500044392029</v>
      </c>
      <c r="AC101" s="3">
        <f>K101</f>
        <v>-7.0470427220067824E-3</v>
      </c>
      <c r="AD101" s="3"/>
      <c r="AE101" s="3"/>
      <c r="AF101"/>
    </row>
    <row r="102" spans="1:32" x14ac:dyDescent="0.3">
      <c r="B102" s="3">
        <f>$B$6</f>
        <v>0.1</v>
      </c>
      <c r="C102" s="3">
        <f>C87 + $O$7 * B85 * B95</f>
        <v>0.39994466882457863</v>
      </c>
      <c r="D102" s="3"/>
      <c r="E102" s="3"/>
      <c r="F102" s="3"/>
      <c r="G102" s="3">
        <f>G87 + $O$7 * F85 * F95</f>
        <v>0.39922664491683063</v>
      </c>
      <c r="H102" s="3"/>
      <c r="I102" s="3"/>
      <c r="J102" s="3"/>
      <c r="K102" s="3"/>
      <c r="L102" s="3"/>
      <c r="M102" s="3"/>
      <c r="O102" s="3"/>
      <c r="P102" s="3"/>
      <c r="Q102" s="3"/>
      <c r="R102" s="3"/>
      <c r="T102" s="3">
        <f t="shared" ref="T102:T107" si="30">$O$19</f>
        <v>0.2</v>
      </c>
      <c r="U102" s="3">
        <f t="shared" si="28"/>
        <v>0.39994466882457863</v>
      </c>
      <c r="V102" s="3"/>
      <c r="W102" s="3"/>
      <c r="X102" s="3"/>
      <c r="Y102" s="3">
        <f t="shared" si="29"/>
        <v>0.39922664491683063</v>
      </c>
      <c r="Z102" s="3"/>
      <c r="AA102" s="3"/>
      <c r="AB102" s="3"/>
      <c r="AC102" s="3"/>
      <c r="AD102" s="3"/>
      <c r="AE102" s="3"/>
      <c r="AF102"/>
    </row>
    <row r="103" spans="1:32" x14ac:dyDescent="0.3">
      <c r="B103" s="3">
        <f>$B$7</f>
        <v>0.1</v>
      </c>
      <c r="C103" s="3">
        <f>C88 + $O$7 * B86* B95</f>
        <v>-2.3282715674409561E-6</v>
      </c>
      <c r="D103" s="3"/>
      <c r="E103" s="3"/>
      <c r="F103" s="3"/>
      <c r="G103" s="3">
        <f>G88 + $O$7 * F86* F95</f>
        <v>0</v>
      </c>
      <c r="H103" s="3"/>
      <c r="I103" s="3"/>
      <c r="J103" s="3"/>
      <c r="K103" s="3"/>
      <c r="L103" s="3"/>
      <c r="M103" s="3"/>
      <c r="O103" s="3"/>
      <c r="P103" s="3"/>
      <c r="Q103" s="3"/>
      <c r="R103" s="3"/>
      <c r="T103" s="3">
        <f t="shared" si="30"/>
        <v>0.2</v>
      </c>
      <c r="U103" s="3">
        <f t="shared" si="28"/>
        <v>-2.3282715674409561E-6</v>
      </c>
      <c r="V103" s="3"/>
      <c r="W103" s="3"/>
      <c r="X103" s="3"/>
      <c r="Y103" s="3">
        <f t="shared" si="29"/>
        <v>0</v>
      </c>
      <c r="Z103" s="3"/>
      <c r="AA103" s="3"/>
      <c r="AB103" s="3"/>
      <c r="AC103" s="3"/>
      <c r="AD103" s="3"/>
      <c r="AE103" s="3"/>
      <c r="AF103"/>
    </row>
    <row r="104" spans="1:32" x14ac:dyDescent="0.3">
      <c r="B104" s="3">
        <f>$B$8</f>
        <v>0.1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O104" s="3"/>
      <c r="P104" s="3"/>
      <c r="Q104" s="3"/>
      <c r="R104" s="3"/>
      <c r="T104" s="3">
        <f>$O$19</f>
        <v>0.2</v>
      </c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/>
    </row>
    <row r="105" spans="1:32" x14ac:dyDescent="0.3">
      <c r="B105" s="3">
        <f>$B$9</f>
        <v>0.1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O105" s="3"/>
      <c r="P105" s="3"/>
      <c r="Q105" s="3"/>
      <c r="R105" s="3"/>
      <c r="T105" s="3">
        <f t="shared" si="30"/>
        <v>0.2</v>
      </c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/>
    </row>
    <row r="106" spans="1:32" x14ac:dyDescent="0.3">
      <c r="B106" s="3">
        <f>$B$10</f>
        <v>0.1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O106" s="3"/>
      <c r="P106" s="3"/>
      <c r="Q106" s="3"/>
      <c r="R106" s="3"/>
      <c r="T106" s="3">
        <f t="shared" si="30"/>
        <v>0.2</v>
      </c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/>
    </row>
    <row r="107" spans="1:32" x14ac:dyDescent="0.3">
      <c r="B107" s="3">
        <f>$B$11</f>
        <v>0.1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O107" s="3"/>
      <c r="P107" s="3"/>
      <c r="Q107" s="3"/>
      <c r="R107" s="3"/>
      <c r="T107" s="3">
        <f t="shared" si="30"/>
        <v>0.2</v>
      </c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/>
    </row>
    <row r="108" spans="1:32" x14ac:dyDescent="0.3">
      <c r="AF108"/>
    </row>
    <row r="109" spans="1:32" x14ac:dyDescent="0.3">
      <c r="AF109"/>
    </row>
    <row r="110" spans="1:32" x14ac:dyDescent="0.3">
      <c r="T110" s="8" t="s">
        <v>4</v>
      </c>
      <c r="U110" s="8"/>
      <c r="V110" s="8"/>
      <c r="W110" s="8"/>
      <c r="X110" s="8" t="s">
        <v>5</v>
      </c>
      <c r="Y110" s="8"/>
      <c r="Z110" s="8"/>
      <c r="AA110" s="8"/>
      <c r="AB110" s="8" t="s">
        <v>6</v>
      </c>
      <c r="AC110" s="8"/>
      <c r="AD110" s="8"/>
      <c r="AE110" s="8"/>
      <c r="AF110"/>
    </row>
    <row r="111" spans="1:32" x14ac:dyDescent="0.3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/>
    </row>
    <row r="112" spans="1:32" x14ac:dyDescent="0.3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 s="3" t="s">
        <v>0</v>
      </c>
      <c r="U112" s="3" t="s">
        <v>1</v>
      </c>
      <c r="V112" s="3" t="s">
        <v>2</v>
      </c>
      <c r="W112" s="3" t="s">
        <v>3</v>
      </c>
      <c r="X112" s="3" t="s">
        <v>0</v>
      </c>
      <c r="Y112" s="3" t="s">
        <v>1</v>
      </c>
      <c r="Z112" s="3" t="s">
        <v>2</v>
      </c>
      <c r="AA112" s="3" t="s">
        <v>3</v>
      </c>
      <c r="AB112" s="3" t="s">
        <v>0</v>
      </c>
      <c r="AC112" s="3" t="s">
        <v>1</v>
      </c>
      <c r="AD112" s="3" t="s">
        <v>2</v>
      </c>
      <c r="AE112" s="3" t="s">
        <v>3</v>
      </c>
      <c r="AF112"/>
    </row>
    <row r="113" spans="1:32" x14ac:dyDescent="0.3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 s="3">
        <f>$O$19</f>
        <v>0.2</v>
      </c>
      <c r="U113" s="3">
        <f>U100 + $O$7 * T85 * T94</f>
        <v>0.19995793764404718</v>
      </c>
      <c r="V113" s="3">
        <f>T113*U113+T114*U114</f>
        <v>9.998005676556293E-2</v>
      </c>
      <c r="W113" s="3">
        <f>1/(1+EXP(-V113))</f>
        <v>0.52497421411163003</v>
      </c>
      <c r="X113" s="3">
        <f>W113</f>
        <v>0.52497421411163003</v>
      </c>
      <c r="Y113" s="3">
        <f>Y85 + $O$7 * X85 * X94</f>
        <v>0.19948626599500943</v>
      </c>
      <c r="Z113" s="3">
        <f>X113*Y113+X114*Y114</f>
        <v>0.26024968519006608</v>
      </c>
      <c r="AA113" s="3">
        <f>1/(1+EXP(-Z113))</f>
        <v>0.56469766896235196</v>
      </c>
      <c r="AB113" s="3">
        <f>AA113</f>
        <v>0.56469766896235196</v>
      </c>
      <c r="AC113" s="3">
        <f>AC85 + $P$19 * AB85 * AB94</f>
        <v>6.2841261057419981E-2</v>
      </c>
      <c r="AD113" s="3">
        <f>AB113*AC113+AB114*AC114</f>
        <v>1.5985736769624427E-2</v>
      </c>
      <c r="AE113" s="3">
        <f>1/(1+EXP(-AD113))</f>
        <v>0.50399634908925584</v>
      </c>
      <c r="AF113"/>
    </row>
    <row r="114" spans="1:32" x14ac:dyDescent="0.3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 s="3">
        <f t="shared" ref="T114:T120" si="31">$O$19</f>
        <v>0.2</v>
      </c>
      <c r="U114" s="3">
        <f>U101 + $O$7 * T85 * T94</f>
        <v>0.29994234618376747</v>
      </c>
      <c r="V114" s="3">
        <f>T113*U115+T114*U116</f>
        <v>7.9986609031858294E-2</v>
      </c>
      <c r="W114" s="3">
        <f>1/(1+EXP(-V114))</f>
        <v>0.51998599776333065</v>
      </c>
      <c r="X114" s="3">
        <f>W114</f>
        <v>0.51998599776333065</v>
      </c>
      <c r="Y114" s="3">
        <f>Y86 + $O$7 * X86 * X94</f>
        <v>0.29909370664257529</v>
      </c>
      <c r="Z114" s="3">
        <f>X113*Y115+X114*Y116</f>
        <v>0.20958369416763595</v>
      </c>
      <c r="AA114" s="3">
        <f>1/(1+EXP(-Z114))</f>
        <v>0.55220496993773172</v>
      </c>
      <c r="AB114" s="3">
        <f>AA114</f>
        <v>0.55220496993773172</v>
      </c>
      <c r="AC114" s="3">
        <f>AC86 + $P$19 * AB86 * AB94</f>
        <v>-3.5314019115681272E-2</v>
      </c>
      <c r="AD114" s="3"/>
      <c r="AE114" s="3"/>
      <c r="AF114"/>
    </row>
    <row r="115" spans="1:32" x14ac:dyDescent="0.3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 s="3">
        <f t="shared" si="31"/>
        <v>0.2</v>
      </c>
      <c r="U115" s="3">
        <f>U102 + $O$7 * T85 * T95</f>
        <v>0.39994002112771876</v>
      </c>
      <c r="V115" s="3"/>
      <c r="W115" s="3"/>
      <c r="X115" s="3"/>
      <c r="Y115" s="3">
        <f>Y87 + $O$7 * X85 * X95</f>
        <v>0.39922664491683063</v>
      </c>
      <c r="Z115" s="3"/>
      <c r="AA115" s="3"/>
      <c r="AB115" s="3"/>
      <c r="AC115" s="3"/>
      <c r="AD115" s="3"/>
      <c r="AE115" s="3"/>
      <c r="AF115"/>
    </row>
    <row r="116" spans="1:32" x14ac:dyDescent="0.3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 s="3">
        <f t="shared" si="31"/>
        <v>0.2</v>
      </c>
      <c r="U116" s="3">
        <f>U103 + $O$7 * T85 * T95</f>
        <v>-6.9759684273068188E-6</v>
      </c>
      <c r="V116" s="3"/>
      <c r="W116" s="3"/>
      <c r="X116" s="3"/>
      <c r="Y116" s="3">
        <f>Y88 + $O$7 * X86* X95</f>
        <v>0</v>
      </c>
      <c r="Z116" s="3"/>
      <c r="AA116" s="3"/>
      <c r="AB116" s="3"/>
      <c r="AC116" s="3"/>
      <c r="AD116" s="3"/>
      <c r="AE116" s="3"/>
      <c r="AF116"/>
    </row>
    <row r="117" spans="1:32" x14ac:dyDescent="0.3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 s="3">
        <f t="shared" si="31"/>
        <v>0.2</v>
      </c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/>
    </row>
    <row r="118" spans="1:32" x14ac:dyDescent="0.3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 s="3">
        <f t="shared" si="31"/>
        <v>0.2</v>
      </c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/>
    </row>
    <row r="119" spans="1:32" x14ac:dyDescent="0.3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 s="3">
        <f t="shared" si="31"/>
        <v>0.2</v>
      </c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/>
    </row>
    <row r="120" spans="1:32" x14ac:dyDescent="0.3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 s="3">
        <f t="shared" si="31"/>
        <v>0.2</v>
      </c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/>
    </row>
    <row r="121" spans="1:32" x14ac:dyDescent="0.3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</row>
    <row r="122" spans="1:32" x14ac:dyDescent="0.3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</row>
    <row r="123" spans="1:32" x14ac:dyDescent="0.3">
      <c r="B123" s="8" t="s">
        <v>4</v>
      </c>
      <c r="C123" s="8"/>
      <c r="D123" s="8"/>
      <c r="E123" s="8"/>
      <c r="F123" s="8" t="s">
        <v>5</v>
      </c>
      <c r="G123" s="8"/>
      <c r="H123" s="8"/>
      <c r="I123" s="8"/>
      <c r="J123" s="8" t="s">
        <v>6</v>
      </c>
      <c r="K123" s="8"/>
      <c r="L123" s="8"/>
      <c r="M123" s="8"/>
      <c r="T123" s="8" t="s">
        <v>4</v>
      </c>
      <c r="U123" s="8"/>
      <c r="V123" s="8"/>
      <c r="W123" s="8"/>
      <c r="X123" s="8" t="s">
        <v>5</v>
      </c>
      <c r="Y123" s="8"/>
      <c r="Z123" s="8"/>
      <c r="AA123" s="8"/>
      <c r="AB123" s="8" t="s">
        <v>6</v>
      </c>
      <c r="AC123" s="8"/>
      <c r="AD123" s="8"/>
      <c r="AE123" s="8"/>
      <c r="AF123"/>
    </row>
    <row r="124" spans="1:32" x14ac:dyDescent="0.3"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/>
    </row>
    <row r="125" spans="1:32" x14ac:dyDescent="0.3">
      <c r="B125" s="3" t="s">
        <v>0</v>
      </c>
      <c r="C125" s="3" t="s">
        <v>1</v>
      </c>
      <c r="D125" s="3" t="s">
        <v>2</v>
      </c>
      <c r="E125" s="3" t="s">
        <v>3</v>
      </c>
      <c r="F125" s="3" t="s">
        <v>0</v>
      </c>
      <c r="G125" s="3" t="s">
        <v>1</v>
      </c>
      <c r="H125" s="3" t="s">
        <v>2</v>
      </c>
      <c r="I125" s="3" t="s">
        <v>3</v>
      </c>
      <c r="J125" s="3" t="s">
        <v>0</v>
      </c>
      <c r="K125" s="3" t="s">
        <v>1</v>
      </c>
      <c r="L125" s="3" t="s">
        <v>2</v>
      </c>
      <c r="M125" s="3" t="s">
        <v>3</v>
      </c>
      <c r="T125" s="3" t="s">
        <v>0</v>
      </c>
      <c r="U125" s="3" t="s">
        <v>1</v>
      </c>
      <c r="V125" s="3" t="s">
        <v>2</v>
      </c>
      <c r="W125" s="3" t="s">
        <v>3</v>
      </c>
      <c r="X125" s="3" t="s">
        <v>0</v>
      </c>
      <c r="Y125" s="3" t="s">
        <v>1</v>
      </c>
      <c r="Z125" s="3" t="s">
        <v>2</v>
      </c>
      <c r="AA125" s="3" t="s">
        <v>3</v>
      </c>
      <c r="AB125" s="3" t="s">
        <v>0</v>
      </c>
      <c r="AC125" s="3" t="s">
        <v>1</v>
      </c>
      <c r="AD125" s="3" t="s">
        <v>2</v>
      </c>
      <c r="AE125" s="3" t="s">
        <v>3</v>
      </c>
      <c r="AF125"/>
    </row>
    <row r="126" spans="1:32" x14ac:dyDescent="0.3">
      <c r="B126" s="3">
        <f>$O$18</f>
        <v>0.1</v>
      </c>
      <c r="C126" s="3">
        <f>U114</f>
        <v>0.29994234618376747</v>
      </c>
      <c r="D126" s="3">
        <f>B126*C126+B127*C127</f>
        <v>6.9988236731148623E-2</v>
      </c>
      <c r="E126" s="3">
        <f>1/(1+EXP(-D126))</f>
        <v>0.51748992044813358</v>
      </c>
      <c r="F126" s="3">
        <f>E126</f>
        <v>0.51748992044813358</v>
      </c>
      <c r="G126" s="3">
        <f>Y114</f>
        <v>0.29909370664257529</v>
      </c>
      <c r="H126" s="3">
        <f>F126*G126+F127*G127</f>
        <v>0.35439123129060729</v>
      </c>
      <c r="I126" s="3">
        <f>1/(1+EXP(-H126))</f>
        <v>0.5876820344817596</v>
      </c>
      <c r="J126" s="3">
        <f>I126</f>
        <v>0.5876820344817596</v>
      </c>
      <c r="K126" s="3">
        <f>AC114</f>
        <v>-3.5314019115681272E-2</v>
      </c>
      <c r="L126" s="3">
        <f>J126*K126+J127*K127</f>
        <v>-2.0753414599631318E-2</v>
      </c>
      <c r="M126" s="3">
        <f>1/(1+EXP(-L126))</f>
        <v>0.49481183256255523</v>
      </c>
      <c r="T126" s="3">
        <f>$O$19</f>
        <v>0.2</v>
      </c>
      <c r="U126" s="3">
        <f>C126</f>
        <v>0.29994234618376747</v>
      </c>
      <c r="V126" s="3">
        <f>T126*U126+T127*U127</f>
        <v>0.13997647346229725</v>
      </c>
      <c r="W126" s="3">
        <f>1/(1+EXP(-V126))</f>
        <v>0.53493709224510155</v>
      </c>
      <c r="X126" s="3">
        <f>W126</f>
        <v>0.53493709224510155</v>
      </c>
      <c r="Y126" s="3">
        <f>G126</f>
        <v>0.29909370664257529</v>
      </c>
      <c r="Z126" s="3">
        <f>X126*Y126+X127*Y127</f>
        <v>0.35960950094898048</v>
      </c>
      <c r="AA126" s="3">
        <f>1/(1+EXP(-Z126))</f>
        <v>0.58894590196435692</v>
      </c>
      <c r="AB126" s="3">
        <f>AA126</f>
        <v>0.58894590196435692</v>
      </c>
      <c r="AC126" s="3">
        <f>K126</f>
        <v>-3.5314019115681272E-2</v>
      </c>
      <c r="AD126" s="3">
        <f>AB126*AC126+AB127*AC127</f>
        <v>-2.079804684007145E-2</v>
      </c>
      <c r="AE126" s="3">
        <f>1/(1+EXP(-AD126))</f>
        <v>0.49480067570640013</v>
      </c>
      <c r="AF126"/>
    </row>
    <row r="127" spans="1:32" x14ac:dyDescent="0.3">
      <c r="B127" s="3">
        <f t="shared" ref="B127:B133" si="32">$O$18</f>
        <v>0.1</v>
      </c>
      <c r="C127" s="3">
        <f t="shared" ref="C127:C129" si="33">U115</f>
        <v>0.39994002112771876</v>
      </c>
      <c r="D127" s="3">
        <f>B126*C128+B127*C129</f>
        <v>-6.9759684273068194E-7</v>
      </c>
      <c r="E127" s="3">
        <f>1/(1+EXP(-D127))</f>
        <v>0.49999982560078937</v>
      </c>
      <c r="F127" s="3">
        <f>E127</f>
        <v>0.49999982560078937</v>
      </c>
      <c r="G127" s="3">
        <f t="shared" ref="G127:G129" si="34">Y115</f>
        <v>0.39922664491683063</v>
      </c>
      <c r="H127" s="3">
        <f>F126*G128+F127*G129</f>
        <v>0</v>
      </c>
      <c r="I127" s="3">
        <f>1/(1+EXP(-H127))</f>
        <v>0.5</v>
      </c>
      <c r="J127" s="3">
        <f>I127</f>
        <v>0.5</v>
      </c>
      <c r="K127" s="3">
        <f>AC115</f>
        <v>0</v>
      </c>
      <c r="L127" s="3"/>
      <c r="M127" s="3"/>
      <c r="T127" s="3">
        <f>$O$19</f>
        <v>0.2</v>
      </c>
      <c r="U127" s="3">
        <f t="shared" ref="U127:U129" si="35">C127</f>
        <v>0.39994002112771876</v>
      </c>
      <c r="V127" s="3">
        <f>T126*U128+T127*U129</f>
        <v>-1.3951936854613639E-6</v>
      </c>
      <c r="W127" s="3">
        <f>1/(1+EXP(-V127))</f>
        <v>0.49999965120157869</v>
      </c>
      <c r="X127" s="3">
        <f>W127</f>
        <v>0.49999965120157869</v>
      </c>
      <c r="Y127" s="3">
        <f t="shared" ref="Y127:Y129" si="36">G127</f>
        <v>0.39922664491683063</v>
      </c>
      <c r="Z127" s="3">
        <f>X126*Y128+X127*Y129</f>
        <v>0</v>
      </c>
      <c r="AA127" s="3">
        <f>1/(1+EXP(-Z127))</f>
        <v>0.5</v>
      </c>
      <c r="AB127" s="3">
        <f>AA127</f>
        <v>0.5</v>
      </c>
      <c r="AC127" s="3">
        <f>K127</f>
        <v>0</v>
      </c>
      <c r="AD127" s="3"/>
      <c r="AE127" s="3"/>
      <c r="AF127"/>
    </row>
    <row r="128" spans="1:32" x14ac:dyDescent="0.3">
      <c r="B128" s="3">
        <f t="shared" si="32"/>
        <v>0.1</v>
      </c>
      <c r="C128" s="3">
        <f t="shared" si="33"/>
        <v>-6.9759684273068188E-6</v>
      </c>
      <c r="D128" s="3"/>
      <c r="E128" s="3"/>
      <c r="F128" s="3"/>
      <c r="G128" s="3">
        <f t="shared" si="34"/>
        <v>0</v>
      </c>
      <c r="H128" s="3"/>
      <c r="I128" s="3"/>
      <c r="J128" s="3"/>
      <c r="K128" s="3"/>
      <c r="L128" s="3"/>
      <c r="M128" s="3"/>
      <c r="O128" s="2" t="s">
        <v>9</v>
      </c>
      <c r="Q128" s="1">
        <f>$P$18-M126</f>
        <v>-9.4811832562555209E-2</v>
      </c>
      <c r="R128" s="1">
        <f>$P$19 - AE126</f>
        <v>5.1993242935998718E-3</v>
      </c>
      <c r="T128" s="3">
        <f t="shared" ref="T128:T133" si="37">$O$19</f>
        <v>0.2</v>
      </c>
      <c r="U128" s="3">
        <f t="shared" si="35"/>
        <v>-6.9759684273068188E-6</v>
      </c>
      <c r="V128" s="3"/>
      <c r="W128" s="3"/>
      <c r="X128" s="3"/>
      <c r="Y128" s="3">
        <f t="shared" si="36"/>
        <v>0</v>
      </c>
      <c r="Z128" s="3"/>
      <c r="AA128" s="3"/>
      <c r="AB128" s="3"/>
      <c r="AC128" s="3"/>
      <c r="AD128" s="3"/>
      <c r="AE128" s="3"/>
      <c r="AF128"/>
    </row>
    <row r="129" spans="1:32" x14ac:dyDescent="0.3">
      <c r="B129" s="3">
        <f t="shared" si="32"/>
        <v>0.1</v>
      </c>
      <c r="C129" s="3">
        <f t="shared" si="33"/>
        <v>0</v>
      </c>
      <c r="D129" s="3"/>
      <c r="E129" s="3"/>
      <c r="F129" s="3"/>
      <c r="G129" s="3">
        <f t="shared" si="34"/>
        <v>0</v>
      </c>
      <c r="H129" s="3"/>
      <c r="I129" s="3"/>
      <c r="J129" s="3"/>
      <c r="K129" s="3"/>
      <c r="L129" s="3"/>
      <c r="M129" s="3"/>
      <c r="O129" s="3">
        <v>0.1</v>
      </c>
      <c r="Q129" s="1">
        <f>SUM(Q128,R128)</f>
        <v>-8.9612508268955338E-2</v>
      </c>
      <c r="T129" s="3">
        <f t="shared" si="37"/>
        <v>0.2</v>
      </c>
      <c r="U129" s="3">
        <f t="shared" si="35"/>
        <v>0</v>
      </c>
      <c r="V129" s="3"/>
      <c r="W129" s="3"/>
      <c r="X129" s="3"/>
      <c r="Y129" s="3">
        <f t="shared" si="36"/>
        <v>0</v>
      </c>
      <c r="Z129" s="3"/>
      <c r="AA129" s="3"/>
      <c r="AB129" s="3"/>
      <c r="AC129" s="3"/>
      <c r="AD129" s="3"/>
      <c r="AE129" s="3"/>
      <c r="AF129"/>
    </row>
    <row r="130" spans="1:32" x14ac:dyDescent="0.3">
      <c r="B130" s="3">
        <f t="shared" si="32"/>
        <v>0.1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T130" s="3">
        <f>$O$19</f>
        <v>0.2</v>
      </c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/>
    </row>
    <row r="131" spans="1:32" x14ac:dyDescent="0.3">
      <c r="B131" s="3">
        <f t="shared" si="32"/>
        <v>0.1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T131" s="3">
        <f t="shared" si="37"/>
        <v>0.2</v>
      </c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/>
    </row>
    <row r="132" spans="1:32" x14ac:dyDescent="0.3">
      <c r="B132" s="3">
        <f t="shared" si="32"/>
        <v>0.1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T132" s="3">
        <f t="shared" si="37"/>
        <v>0.2</v>
      </c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/>
    </row>
    <row r="133" spans="1:32" x14ac:dyDescent="0.3">
      <c r="B133" s="3">
        <f t="shared" si="32"/>
        <v>0.1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T133" s="3">
        <f t="shared" si="37"/>
        <v>0.2</v>
      </c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/>
    </row>
    <row r="134" spans="1:32" x14ac:dyDescent="0.3">
      <c r="AF134"/>
    </row>
    <row r="135" spans="1:32" x14ac:dyDescent="0.3">
      <c r="A135" s="4" t="s">
        <v>7</v>
      </c>
      <c r="B135" s="5">
        <f>E126 * (1 - E126) * (G126 * F135 + G128 * F136)</f>
        <v>5.7267208542103554E-5</v>
      </c>
      <c r="C135" s="6"/>
      <c r="D135" s="6"/>
      <c r="E135" s="7"/>
      <c r="F135" s="5">
        <f>I126 * (1 - I126) * K126 *J135</f>
        <v>7.6681474272934113E-4</v>
      </c>
      <c r="G135" s="6"/>
      <c r="H135" s="6"/>
      <c r="I135" s="7"/>
      <c r="J135" s="5">
        <f>Q129</f>
        <v>-8.9612508268955338E-2</v>
      </c>
      <c r="K135" s="6"/>
      <c r="L135" s="6"/>
      <c r="M135" s="7"/>
      <c r="S135" s="4" t="s">
        <v>7</v>
      </c>
      <c r="T135" s="5">
        <f>W126 * (1 - W126) * (Y126 * X135 + Y128 * X136)</f>
        <v>5.7004856666919319E-5</v>
      </c>
      <c r="U135" s="6"/>
      <c r="V135" s="6"/>
      <c r="W135" s="7"/>
      <c r="X135" s="5">
        <f>AA126 * (1 - AA126) * AC126 *AB135</f>
        <v>7.6610830039559744E-4</v>
      </c>
      <c r="Y135" s="6"/>
      <c r="Z135" s="6"/>
      <c r="AA135" s="7"/>
      <c r="AB135" s="5">
        <f>Q129</f>
        <v>-8.9612508268955338E-2</v>
      </c>
      <c r="AC135" s="6"/>
      <c r="AD135" s="6"/>
      <c r="AE135" s="7"/>
      <c r="AF135"/>
    </row>
    <row r="136" spans="1:32" x14ac:dyDescent="0.3">
      <c r="B136" s="5">
        <f>E127 * (1 - E127) * (G127 * F135 + G129 * F136)</f>
        <v>7.6533219253140065E-5</v>
      </c>
      <c r="C136" s="6"/>
      <c r="D136" s="6"/>
      <c r="E136" s="7"/>
      <c r="F136" s="5">
        <f>J127 * (1 - J127) * K127 * J135</f>
        <v>0</v>
      </c>
      <c r="G136" s="6"/>
      <c r="H136" s="6"/>
      <c r="I136" s="7"/>
      <c r="T136" s="5">
        <f>W127 * (1 - W127) * (Y127 * X135 + Y129 * X136)</f>
        <v>7.6462711602430234E-5</v>
      </c>
      <c r="U136" s="6"/>
      <c r="V136" s="6"/>
      <c r="W136" s="7"/>
      <c r="X136" s="5">
        <f>AB127 * (1 - AB127) * AC127 * AB135</f>
        <v>0</v>
      </c>
      <c r="Y136" s="6"/>
      <c r="Z136" s="6"/>
      <c r="AA136" s="7"/>
      <c r="AF136"/>
    </row>
    <row r="137" spans="1:32" x14ac:dyDescent="0.3">
      <c r="AF137"/>
    </row>
    <row r="138" spans="1:32" x14ac:dyDescent="0.3">
      <c r="B138" s="8" t="s">
        <v>4</v>
      </c>
      <c r="C138" s="8"/>
      <c r="D138" s="8"/>
      <c r="E138" s="8"/>
      <c r="F138" s="8" t="s">
        <v>5</v>
      </c>
      <c r="G138" s="8"/>
      <c r="H138" s="8"/>
      <c r="I138" s="8"/>
      <c r="J138" s="8" t="s">
        <v>6</v>
      </c>
      <c r="K138" s="8"/>
      <c r="L138" s="8"/>
      <c r="M138" s="8"/>
      <c r="T138" s="8" t="s">
        <v>4</v>
      </c>
      <c r="U138" s="8"/>
      <c r="V138" s="8"/>
      <c r="W138" s="8"/>
      <c r="X138" s="8" t="s">
        <v>5</v>
      </c>
      <c r="Y138" s="8"/>
      <c r="Z138" s="8"/>
      <c r="AA138" s="8"/>
      <c r="AB138" s="8" t="s">
        <v>6</v>
      </c>
      <c r="AC138" s="8"/>
      <c r="AD138" s="8"/>
      <c r="AE138" s="8"/>
      <c r="AF138"/>
    </row>
    <row r="139" spans="1:32" x14ac:dyDescent="0.3"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O139" s="2" t="s">
        <v>0</v>
      </c>
      <c r="P139" s="2" t="s">
        <v>8</v>
      </c>
      <c r="Q139" s="2" t="s">
        <v>11</v>
      </c>
      <c r="R139" s="2" t="s">
        <v>10</v>
      </c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/>
    </row>
    <row r="140" spans="1:32" x14ac:dyDescent="0.3">
      <c r="B140" s="3" t="s">
        <v>0</v>
      </c>
      <c r="C140" s="3" t="s">
        <v>1</v>
      </c>
      <c r="D140" s="3" t="s">
        <v>2</v>
      </c>
      <c r="E140" s="3" t="s">
        <v>3</v>
      </c>
      <c r="F140" s="3" t="s">
        <v>0</v>
      </c>
      <c r="G140" s="3" t="s">
        <v>1</v>
      </c>
      <c r="H140" s="3" t="s">
        <v>2</v>
      </c>
      <c r="I140" s="3" t="s">
        <v>3</v>
      </c>
      <c r="J140" s="3" t="s">
        <v>0</v>
      </c>
      <c r="K140" s="3" t="s">
        <v>1</v>
      </c>
      <c r="L140" s="3" t="s">
        <v>2</v>
      </c>
      <c r="M140" s="3" t="s">
        <v>3</v>
      </c>
      <c r="O140" s="3">
        <v>0.1</v>
      </c>
      <c r="P140" s="3">
        <v>0.4</v>
      </c>
      <c r="Q140" s="3">
        <f>M1288</f>
        <v>0</v>
      </c>
      <c r="R140" s="3">
        <f>P140-Q140</f>
        <v>0.4</v>
      </c>
      <c r="T140" s="3" t="s">
        <v>0</v>
      </c>
      <c r="U140" s="3" t="s">
        <v>1</v>
      </c>
      <c r="V140" s="3" t="s">
        <v>2</v>
      </c>
      <c r="W140" s="3" t="s">
        <v>3</v>
      </c>
      <c r="X140" s="3" t="s">
        <v>0</v>
      </c>
      <c r="Y140" s="3" t="s">
        <v>1</v>
      </c>
      <c r="Z140" s="3" t="s">
        <v>2</v>
      </c>
      <c r="AA140" s="3" t="s">
        <v>3</v>
      </c>
      <c r="AB140" s="3" t="s">
        <v>0</v>
      </c>
      <c r="AC140" s="3" t="s">
        <v>1</v>
      </c>
      <c r="AD140" s="3" t="s">
        <v>2</v>
      </c>
      <c r="AE140" s="3" t="s">
        <v>3</v>
      </c>
      <c r="AF140"/>
    </row>
    <row r="141" spans="1:32" x14ac:dyDescent="0.3">
      <c r="B141" s="3">
        <f>$B$4</f>
        <v>0.1</v>
      </c>
      <c r="C141" s="3">
        <f>C126 + $O$7 * B126 * B135</f>
        <v>0.29994291885585289</v>
      </c>
      <c r="D141" s="3">
        <f>B141*C141+B142*C142</f>
        <v>6.9988351265565713E-2</v>
      </c>
      <c r="E141" s="3">
        <f>1/(1+EXP(-D141))</f>
        <v>0.51748994904670198</v>
      </c>
      <c r="F141" s="3">
        <f>E141</f>
        <v>0.51748994904670198</v>
      </c>
      <c r="G141" s="3">
        <f>G126 + $O$7 * F126 * F135</f>
        <v>0.29913338853259663</v>
      </c>
      <c r="H141" s="3">
        <f>F141*G141+F142*G142</f>
        <v>0.35443096045721673</v>
      </c>
      <c r="I141" s="3">
        <f>1/(1+EXP(-H141))</f>
        <v>0.58769166129651318</v>
      </c>
      <c r="J141" s="3">
        <f>I141</f>
        <v>0.58769166129651318</v>
      </c>
      <c r="K141" s="3">
        <f>K126 + $O$7 * J126 * J135</f>
        <v>-4.0580385233132593E-2</v>
      </c>
      <c r="L141" s="3">
        <f>J141*K141+J142*K142</f>
        <v>-2.6089066720436066E-2</v>
      </c>
      <c r="M141" s="3">
        <f>1/(1+EXP(-L141))</f>
        <v>0.49347810323735419</v>
      </c>
      <c r="O141" s="3">
        <v>0.2</v>
      </c>
      <c r="P141" s="3">
        <v>0.5</v>
      </c>
      <c r="Q141" s="3">
        <f>AE1288</f>
        <v>0</v>
      </c>
      <c r="R141" s="3">
        <f>P141-Q141</f>
        <v>0.5</v>
      </c>
      <c r="T141" s="3">
        <f>$O$19</f>
        <v>0.2</v>
      </c>
      <c r="U141" s="3">
        <f>C141</f>
        <v>0.29994291885585289</v>
      </c>
      <c r="V141" s="3">
        <f>T141*U141+T142*U142</f>
        <v>0.13997670253113143</v>
      </c>
      <c r="W141" s="3">
        <f>1/(1+EXP(-V141))</f>
        <v>0.53493714923270808</v>
      </c>
      <c r="X141" s="3">
        <f>W141</f>
        <v>0.53493714923270808</v>
      </c>
      <c r="Y141" s="3">
        <f>G141</f>
        <v>0.29913338853259663</v>
      </c>
      <c r="Z141" s="3">
        <f>X141*Y141+X142*Y142</f>
        <v>0.35964994621628221</v>
      </c>
      <c r="AA141" s="3">
        <f>1/(1+EXP(-Z141))</f>
        <v>0.58895569326834241</v>
      </c>
      <c r="AB141" s="3">
        <f>AA141</f>
        <v>0.58895569326834241</v>
      </c>
      <c r="AC141" s="3">
        <f>K141</f>
        <v>-4.0580385233132593E-2</v>
      </c>
      <c r="AD141" s="3">
        <f>AB141*AC141+AB142*AC142</f>
        <v>-2.6140361624799893E-2</v>
      </c>
      <c r="AE141" s="3">
        <f>1/(1+EXP(-AD141))</f>
        <v>0.49346528169739123</v>
      </c>
      <c r="AF141"/>
    </row>
    <row r="142" spans="1:32" x14ac:dyDescent="0.3">
      <c r="B142" s="3">
        <f>$B$5</f>
        <v>0.1</v>
      </c>
      <c r="C142" s="3">
        <f>C127 + $O$7 * B127 * B135</f>
        <v>0.39994059379980418</v>
      </c>
      <c r="D142" s="3">
        <f>B141*C143+B142*C144</f>
        <v>-5.4453040422440179E-7</v>
      </c>
      <c r="E142" s="3">
        <f>1/(1+EXP(-D142))</f>
        <v>0.49999986386739903</v>
      </c>
      <c r="F142" s="3">
        <f>E142</f>
        <v>0.49999986386739903</v>
      </c>
      <c r="G142" s="3">
        <f>G127 + $O$7 * F127 * F135</f>
        <v>0.39926498564059393</v>
      </c>
      <c r="H142" s="3">
        <f>F141*G143+F142*G144</f>
        <v>0</v>
      </c>
      <c r="I142" s="3">
        <f>1/(1+EXP(-H142))</f>
        <v>0.5</v>
      </c>
      <c r="J142" s="3">
        <f>I142</f>
        <v>0.5</v>
      </c>
      <c r="K142" s="3">
        <f>K127 + $O$7* J127 * J135</f>
        <v>-4.4806254134477667E-3</v>
      </c>
      <c r="L142" s="3"/>
      <c r="M142" s="3"/>
      <c r="O142" s="3"/>
      <c r="P142" s="3"/>
      <c r="Q142" s="3"/>
      <c r="R142" s="3"/>
      <c r="T142" s="3">
        <f>$O$19</f>
        <v>0.2</v>
      </c>
      <c r="U142" s="3">
        <f t="shared" ref="U142:U144" si="38">C142</f>
        <v>0.39994059379980418</v>
      </c>
      <c r="V142" s="3">
        <f>T141*U143+T142*U144</f>
        <v>-1.0890608084488036E-6</v>
      </c>
      <c r="W142" s="3">
        <f>1/(1+EXP(-V142))</f>
        <v>0.49999972773479789</v>
      </c>
      <c r="X142" s="3">
        <f>W142</f>
        <v>0.49999972773479789</v>
      </c>
      <c r="Y142" s="3">
        <f t="shared" ref="Y142:Y144" si="39">G142</f>
        <v>0.39926498564059393</v>
      </c>
      <c r="Z142" s="3">
        <f>X141*Y143+X142*Y144</f>
        <v>0</v>
      </c>
      <c r="AA142" s="3">
        <f>1/(1+EXP(-Z142))</f>
        <v>0.5</v>
      </c>
      <c r="AB142" s="3">
        <f>AA142</f>
        <v>0.5</v>
      </c>
      <c r="AC142" s="3">
        <f>K142</f>
        <v>-4.4806254134477667E-3</v>
      </c>
      <c r="AD142" s="3"/>
      <c r="AE142" s="3"/>
      <c r="AF142"/>
    </row>
    <row r="143" spans="1:32" x14ac:dyDescent="0.3">
      <c r="B143" s="3">
        <f>$B$6</f>
        <v>0.1</v>
      </c>
      <c r="C143" s="3">
        <f>C128 + $O$7 * B126 * B136</f>
        <v>-6.2106362347754182E-6</v>
      </c>
      <c r="D143" s="3"/>
      <c r="E143" s="3"/>
      <c r="F143" s="3"/>
      <c r="G143" s="3">
        <f>G128 + $O$7 * F126 * F136</f>
        <v>0</v>
      </c>
      <c r="H143" s="3"/>
      <c r="I143" s="3"/>
      <c r="J143" s="3"/>
      <c r="K143" s="3"/>
      <c r="L143" s="3"/>
      <c r="M143" s="3"/>
      <c r="O143" s="3"/>
      <c r="P143" s="3"/>
      <c r="Q143" s="3"/>
      <c r="R143" s="3"/>
      <c r="T143" s="3">
        <f t="shared" ref="T143:T148" si="40">$O$19</f>
        <v>0.2</v>
      </c>
      <c r="U143" s="3">
        <f t="shared" si="38"/>
        <v>-6.2106362347754182E-6</v>
      </c>
      <c r="V143" s="3"/>
      <c r="W143" s="3"/>
      <c r="X143" s="3"/>
      <c r="Y143" s="3">
        <f t="shared" si="39"/>
        <v>0</v>
      </c>
      <c r="Z143" s="3"/>
      <c r="AA143" s="3"/>
      <c r="AB143" s="3"/>
      <c r="AC143" s="3"/>
      <c r="AD143" s="3"/>
      <c r="AE143" s="3"/>
      <c r="AF143"/>
    </row>
    <row r="144" spans="1:32" x14ac:dyDescent="0.3">
      <c r="B144" s="3">
        <f>$B$7</f>
        <v>0.1</v>
      </c>
      <c r="C144" s="3">
        <f>C129 + $O$7 * B127* B136</f>
        <v>7.6533219253140083E-7</v>
      </c>
      <c r="D144" s="3"/>
      <c r="E144" s="3"/>
      <c r="F144" s="3"/>
      <c r="G144" s="3">
        <f>G129 + $O$7 * F127* F136</f>
        <v>0</v>
      </c>
      <c r="H144" s="3"/>
      <c r="I144" s="3"/>
      <c r="J144" s="3"/>
      <c r="K144" s="3"/>
      <c r="L144" s="3"/>
      <c r="M144" s="3"/>
      <c r="O144" s="3"/>
      <c r="P144" s="3"/>
      <c r="Q144" s="3"/>
      <c r="R144" s="3"/>
      <c r="T144" s="3">
        <f t="shared" si="40"/>
        <v>0.2</v>
      </c>
      <c r="U144" s="3">
        <f t="shared" si="38"/>
        <v>7.6533219253140083E-7</v>
      </c>
      <c r="V144" s="3"/>
      <c r="W144" s="3"/>
      <c r="X144" s="3"/>
      <c r="Y144" s="3">
        <f t="shared" si="39"/>
        <v>0</v>
      </c>
      <c r="Z144" s="3"/>
      <c r="AA144" s="3"/>
      <c r="AB144" s="3"/>
      <c r="AC144" s="3"/>
      <c r="AD144" s="3"/>
      <c r="AE144" s="3"/>
      <c r="AF144"/>
    </row>
    <row r="145" spans="1:32" x14ac:dyDescent="0.3">
      <c r="B145" s="3">
        <f>$B$8</f>
        <v>0.1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O145" s="3"/>
      <c r="P145" s="3"/>
      <c r="Q145" s="3"/>
      <c r="R145" s="3"/>
      <c r="T145" s="3">
        <f>$O$19</f>
        <v>0.2</v>
      </c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/>
    </row>
    <row r="146" spans="1:32" x14ac:dyDescent="0.3">
      <c r="B146" s="3">
        <f>$B$9</f>
        <v>0.1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O146" s="3"/>
      <c r="P146" s="3"/>
      <c r="Q146" s="3"/>
      <c r="R146" s="3"/>
      <c r="T146" s="3">
        <f t="shared" si="40"/>
        <v>0.2</v>
      </c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/>
    </row>
    <row r="147" spans="1:32" x14ac:dyDescent="0.3">
      <c r="B147" s="3">
        <f>$B$10</f>
        <v>0.1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O147" s="3"/>
      <c r="P147" s="3"/>
      <c r="Q147" s="3"/>
      <c r="R147" s="3"/>
      <c r="T147" s="3">
        <f t="shared" si="40"/>
        <v>0.2</v>
      </c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/>
    </row>
    <row r="148" spans="1:32" x14ac:dyDescent="0.3">
      <c r="B148" s="3">
        <f>$B$11</f>
        <v>0.1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O148" s="3"/>
      <c r="P148" s="3"/>
      <c r="Q148" s="3"/>
      <c r="R148" s="3"/>
      <c r="T148" s="3">
        <f t="shared" si="40"/>
        <v>0.2</v>
      </c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/>
    </row>
    <row r="149" spans="1:32" x14ac:dyDescent="0.3">
      <c r="AF149"/>
    </row>
    <row r="150" spans="1:32" x14ac:dyDescent="0.3">
      <c r="AF150"/>
    </row>
    <row r="151" spans="1:32" x14ac:dyDescent="0.3">
      <c r="T151" s="8" t="s">
        <v>4</v>
      </c>
      <c r="U151" s="8"/>
      <c r="V151" s="8"/>
      <c r="W151" s="8"/>
      <c r="X151" s="8" t="s">
        <v>5</v>
      </c>
      <c r="Y151" s="8"/>
      <c r="Z151" s="8"/>
      <c r="AA151" s="8"/>
      <c r="AB151" s="8" t="s">
        <v>6</v>
      </c>
      <c r="AC151" s="8"/>
      <c r="AD151" s="8"/>
      <c r="AE151" s="8"/>
      <c r="AF151"/>
    </row>
    <row r="152" spans="1:32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/>
    </row>
    <row r="153" spans="1:32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 s="3" t="s">
        <v>0</v>
      </c>
      <c r="U153" s="3" t="s">
        <v>1</v>
      </c>
      <c r="V153" s="3" t="s">
        <v>2</v>
      </c>
      <c r="W153" s="3" t="s">
        <v>3</v>
      </c>
      <c r="X153" s="3" t="s">
        <v>0</v>
      </c>
      <c r="Y153" s="3" t="s">
        <v>1</v>
      </c>
      <c r="Z153" s="3" t="s">
        <v>2</v>
      </c>
      <c r="AA153" s="3" t="s">
        <v>3</v>
      </c>
      <c r="AB153" s="3" t="s">
        <v>0</v>
      </c>
      <c r="AC153" s="3" t="s">
        <v>1</v>
      </c>
      <c r="AD153" s="3" t="s">
        <v>2</v>
      </c>
      <c r="AE153" s="3" t="s">
        <v>3</v>
      </c>
      <c r="AF153"/>
    </row>
    <row r="154" spans="1:32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 s="3">
        <f>$O$19</f>
        <v>0.2</v>
      </c>
      <c r="U154" s="3">
        <f>U141 + $O$7 * T126 * T135</f>
        <v>0.2999440589529862</v>
      </c>
      <c r="V154" s="3">
        <f>T154*U154+T155*U155</f>
        <v>0.13997715856998474</v>
      </c>
      <c r="W154" s="3">
        <f>1/(1+EXP(-V154))</f>
        <v>0.53493726268577668</v>
      </c>
      <c r="X154" s="3">
        <f>W154</f>
        <v>0.53493726268577668</v>
      </c>
      <c r="Y154" s="3">
        <f>Y126 + $O$7 * X126 * X135</f>
        <v>0.29913468861723114</v>
      </c>
      <c r="Z154" s="3">
        <f>X154*Y154+X155*Y155</f>
        <v>0.35965071900763723</v>
      </c>
      <c r="AA154" s="3">
        <f>1/(1+EXP(-Z154))</f>
        <v>0.58895588035098112</v>
      </c>
      <c r="AB154" s="3">
        <f>AA154</f>
        <v>0.58895588035098112</v>
      </c>
      <c r="AC154" s="3">
        <f>AC126 + $P$19 * AB126 * AB135</f>
        <v>-6.1702478870555424E-2</v>
      </c>
      <c r="AD154" s="3">
        <f>AB154*AC154+AB155*AC155</f>
        <v>-4.7541601296665195E-2</v>
      </c>
      <c r="AE154" s="3">
        <f>1/(1+EXP(-AD154))</f>
        <v>0.48811683778894399</v>
      </c>
      <c r="AF154"/>
    </row>
    <row r="155" spans="1:32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 s="3">
        <f t="shared" ref="T155:T161" si="41">$O$19</f>
        <v>0.2</v>
      </c>
      <c r="U155" s="3">
        <f>U142 + $O$7 * T126 * T135</f>
        <v>0.39994173389693749</v>
      </c>
      <c r="V155" s="3">
        <f>T154*U156+T155*U157</f>
        <v>-4.7735911562936147E-7</v>
      </c>
      <c r="W155" s="3">
        <f>1/(1+EXP(-V155))</f>
        <v>0.49999988066022111</v>
      </c>
      <c r="X155" s="3">
        <f>W155</f>
        <v>0.49999988066022111</v>
      </c>
      <c r="Y155" s="3">
        <f>Y127 + $O$7 * X127 * X135</f>
        <v>0.39926495030512865</v>
      </c>
      <c r="Z155" s="3">
        <f>X154*Y156+X155*Y157</f>
        <v>0</v>
      </c>
      <c r="AA155" s="3">
        <f>1/(1+EXP(-Z155))</f>
        <v>0.5</v>
      </c>
      <c r="AB155" s="3">
        <f>AA155</f>
        <v>0.5</v>
      </c>
      <c r="AC155" s="3">
        <f>AC127 + $P$19 * AB127 * AB135</f>
        <v>-2.2403127067238834E-2</v>
      </c>
      <c r="AD155" s="3"/>
      <c r="AE155" s="3"/>
      <c r="AF155"/>
    </row>
    <row r="156" spans="1:32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 s="3">
        <f t="shared" si="41"/>
        <v>0.2</v>
      </c>
      <c r="U156" s="3">
        <f>U143 + $O$7 * T126 * T136</f>
        <v>-4.681382002726813E-6</v>
      </c>
      <c r="V156" s="3"/>
      <c r="W156" s="3"/>
      <c r="X156" s="3"/>
      <c r="Y156" s="3">
        <f>Y128 + $O$7 * X126 * X136</f>
        <v>0</v>
      </c>
      <c r="Z156" s="3"/>
      <c r="AA156" s="3"/>
      <c r="AB156" s="3"/>
      <c r="AC156" s="3"/>
      <c r="AD156" s="3"/>
      <c r="AE156" s="3"/>
      <c r="AF156"/>
    </row>
    <row r="157" spans="1:32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 s="3">
        <f t="shared" si="41"/>
        <v>0.2</v>
      </c>
      <c r="U157" s="3">
        <f>U144 + $O$7 * T126 * T136</f>
        <v>2.2945864245800057E-6</v>
      </c>
      <c r="V157" s="3"/>
      <c r="W157" s="3"/>
      <c r="X157" s="3"/>
      <c r="Y157" s="3">
        <f>Y129 + $O$7 * X127* X136</f>
        <v>0</v>
      </c>
      <c r="Z157" s="3"/>
      <c r="AA157" s="3"/>
      <c r="AB157" s="3"/>
      <c r="AC157" s="3"/>
      <c r="AD157" s="3"/>
      <c r="AE157" s="3"/>
      <c r="AF157"/>
    </row>
    <row r="158" spans="1:32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 s="3">
        <f t="shared" si="41"/>
        <v>0.2</v>
      </c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/>
    </row>
    <row r="159" spans="1:32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 s="3">
        <f t="shared" si="41"/>
        <v>0.2</v>
      </c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/>
    </row>
    <row r="160" spans="1:32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 s="3">
        <f t="shared" si="41"/>
        <v>0.2</v>
      </c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/>
    </row>
    <row r="161" spans="1:32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 s="3">
        <f t="shared" si="41"/>
        <v>0.2</v>
      </c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/>
    </row>
    <row r="162" spans="1:32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</row>
    <row r="163" spans="1:32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</row>
    <row r="164" spans="1:32" x14ac:dyDescent="0.3">
      <c r="B164" s="8" t="s">
        <v>4</v>
      </c>
      <c r="C164" s="8"/>
      <c r="D164" s="8"/>
      <c r="E164" s="8"/>
      <c r="F164" s="8" t="s">
        <v>5</v>
      </c>
      <c r="G164" s="8"/>
      <c r="H164" s="8"/>
      <c r="I164" s="8"/>
      <c r="J164" s="8" t="s">
        <v>6</v>
      </c>
      <c r="K164" s="8"/>
      <c r="L164" s="8"/>
      <c r="M164" s="8"/>
      <c r="T164" s="8" t="s">
        <v>4</v>
      </c>
      <c r="U164" s="8"/>
      <c r="V164" s="8"/>
      <c r="W164" s="8"/>
      <c r="X164" s="8" t="s">
        <v>5</v>
      </c>
      <c r="Y164" s="8"/>
      <c r="Z164" s="8"/>
      <c r="AA164" s="8"/>
      <c r="AB164" s="8" t="s">
        <v>6</v>
      </c>
      <c r="AC164" s="8"/>
      <c r="AD164" s="8"/>
      <c r="AE164" s="8"/>
      <c r="AF164"/>
    </row>
    <row r="165" spans="1:32" x14ac:dyDescent="0.3"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/>
    </row>
    <row r="166" spans="1:32" x14ac:dyDescent="0.3">
      <c r="B166" s="3" t="s">
        <v>0</v>
      </c>
      <c r="C166" s="3" t="s">
        <v>1</v>
      </c>
      <c r="D166" s="3" t="s">
        <v>2</v>
      </c>
      <c r="E166" s="3" t="s">
        <v>3</v>
      </c>
      <c r="F166" s="3" t="s">
        <v>0</v>
      </c>
      <c r="G166" s="3" t="s">
        <v>1</v>
      </c>
      <c r="H166" s="3" t="s">
        <v>2</v>
      </c>
      <c r="I166" s="3" t="s">
        <v>3</v>
      </c>
      <c r="J166" s="3" t="s">
        <v>0</v>
      </c>
      <c r="K166" s="3" t="s">
        <v>1</v>
      </c>
      <c r="L166" s="3" t="s">
        <v>2</v>
      </c>
      <c r="M166" s="3" t="s">
        <v>3</v>
      </c>
      <c r="T166" s="3" t="s">
        <v>0</v>
      </c>
      <c r="U166" s="3" t="s">
        <v>1</v>
      </c>
      <c r="V166" s="3" t="s">
        <v>2</v>
      </c>
      <c r="W166" s="3" t="s">
        <v>3</v>
      </c>
      <c r="X166" s="3" t="s">
        <v>0</v>
      </c>
      <c r="Y166" s="3" t="s">
        <v>1</v>
      </c>
      <c r="Z166" s="3" t="s">
        <v>2</v>
      </c>
      <c r="AA166" s="3" t="s">
        <v>3</v>
      </c>
      <c r="AB166" s="3" t="s">
        <v>0</v>
      </c>
      <c r="AC166" s="3" t="s">
        <v>1</v>
      </c>
      <c r="AD166" s="3" t="s">
        <v>2</v>
      </c>
      <c r="AE166" s="3" t="s">
        <v>3</v>
      </c>
      <c r="AF166"/>
    </row>
    <row r="167" spans="1:32" x14ac:dyDescent="0.3">
      <c r="B167" s="3">
        <f>$O$18</f>
        <v>0.1</v>
      </c>
      <c r="C167" s="3">
        <f>U155</f>
        <v>0.39994173389693749</v>
      </c>
      <c r="D167" s="3">
        <f>B167*C167+B168*C168</f>
        <v>3.9993705251493476E-2</v>
      </c>
      <c r="E167" s="3">
        <f>1/(1+EXP(-D167))</f>
        <v>0.50999709382204683</v>
      </c>
      <c r="F167" s="3">
        <f>E167</f>
        <v>0.50999709382204683</v>
      </c>
      <c r="G167" s="3">
        <f>Y155</f>
        <v>0.39926495030512865</v>
      </c>
      <c r="H167" s="3">
        <f>F167*G167+F168*G168</f>
        <v>0.20362396432061955</v>
      </c>
      <c r="I167" s="3">
        <f>1/(1+EXP(-H167))</f>
        <v>0.55073082559507136</v>
      </c>
      <c r="J167" s="3">
        <f>I167</f>
        <v>0.55073082559507136</v>
      </c>
      <c r="K167" s="3">
        <f>AC155</f>
        <v>-2.2403127067238834E-2</v>
      </c>
      <c r="L167" s="3">
        <f>J167*K167+J168*K168</f>
        <v>-1.2338092665651734E-2</v>
      </c>
      <c r="M167" s="3">
        <f>1/(1+EXP(-L167))</f>
        <v>0.49691551596236044</v>
      </c>
      <c r="T167" s="3">
        <f>$O$19</f>
        <v>0.2</v>
      </c>
      <c r="U167" s="3">
        <f>C167</f>
        <v>0.39994173389693749</v>
      </c>
      <c r="V167" s="3">
        <f>T167*U167+T168*U168</f>
        <v>7.9987410502986953E-2</v>
      </c>
      <c r="W167" s="3">
        <f>1/(1+EXP(-V167))</f>
        <v>0.51998619781097</v>
      </c>
      <c r="X167" s="3">
        <f>W167</f>
        <v>0.51998619781097</v>
      </c>
      <c r="Y167" s="3">
        <f>G167</f>
        <v>0.39926495030512865</v>
      </c>
      <c r="Z167" s="3">
        <f>X167*Y167+X168*Y168</f>
        <v>0.20761226342834974</v>
      </c>
      <c r="AA167" s="3">
        <f>1/(1+EXP(-Z167))</f>
        <v>0.55171743509074933</v>
      </c>
      <c r="AB167" s="3">
        <f>AA167</f>
        <v>0.55171743509074933</v>
      </c>
      <c r="AC167" s="3">
        <f>K167</f>
        <v>-2.2403127067238834E-2</v>
      </c>
      <c r="AD167" s="3">
        <f>AB167*AC167+AB168*AC168</f>
        <v>-1.2360195803549152E-2</v>
      </c>
      <c r="AE167" s="3">
        <f>1/(1+EXP(-AD167))</f>
        <v>0.49690999038855332</v>
      </c>
      <c r="AF167"/>
    </row>
    <row r="168" spans="1:32" x14ac:dyDescent="0.3">
      <c r="B168" s="3">
        <f t="shared" ref="B168:B174" si="42">$O$18</f>
        <v>0.1</v>
      </c>
      <c r="C168" s="3">
        <f t="shared" ref="C168:C170" si="43">U156</f>
        <v>-4.681382002726813E-6</v>
      </c>
      <c r="D168" s="3">
        <f>B167*C169+B168*C170</f>
        <v>2.2945864245800058E-7</v>
      </c>
      <c r="E168" s="3">
        <f>1/(1+EXP(-D168))</f>
        <v>0.50000005736466058</v>
      </c>
      <c r="F168" s="3">
        <f>E168</f>
        <v>0.50000005736466058</v>
      </c>
      <c r="G168" s="3">
        <f t="shared" ref="G168:G170" si="44">Y156</f>
        <v>0</v>
      </c>
      <c r="H168" s="3">
        <f>F167*G169+F168*G170</f>
        <v>0</v>
      </c>
      <c r="I168" s="3">
        <f>1/(1+EXP(-H168))</f>
        <v>0.5</v>
      </c>
      <c r="J168" s="3">
        <f>I168</f>
        <v>0.5</v>
      </c>
      <c r="K168" s="3">
        <f>AC156</f>
        <v>0</v>
      </c>
      <c r="L168" s="3"/>
      <c r="M168" s="3"/>
      <c r="T168" s="3">
        <f>$O$19</f>
        <v>0.2</v>
      </c>
      <c r="U168" s="3">
        <f t="shared" ref="U168:U170" si="45">C168</f>
        <v>-4.681382002726813E-6</v>
      </c>
      <c r="V168" s="3">
        <f>T167*U169+T168*U170</f>
        <v>4.5891728491600115E-7</v>
      </c>
      <c r="W168" s="3">
        <f>1/(1+EXP(-V168))</f>
        <v>0.50000011472932127</v>
      </c>
      <c r="X168" s="3">
        <f>W168</f>
        <v>0.50000011472932127</v>
      </c>
      <c r="Y168" s="3">
        <f t="shared" ref="Y168:Y170" si="46">G168</f>
        <v>0</v>
      </c>
      <c r="Z168" s="3">
        <f>X167*Y169+X168*Y170</f>
        <v>0</v>
      </c>
      <c r="AA168" s="3">
        <f>1/(1+EXP(-Z168))</f>
        <v>0.5</v>
      </c>
      <c r="AB168" s="3">
        <f>AA168</f>
        <v>0.5</v>
      </c>
      <c r="AC168" s="3">
        <f>K168</f>
        <v>0</v>
      </c>
      <c r="AD168" s="3"/>
      <c r="AE168" s="3"/>
      <c r="AF168"/>
    </row>
    <row r="169" spans="1:32" x14ac:dyDescent="0.3">
      <c r="B169" s="3">
        <f t="shared" si="42"/>
        <v>0.1</v>
      </c>
      <c r="C169" s="3">
        <f t="shared" si="43"/>
        <v>2.2945864245800057E-6</v>
      </c>
      <c r="D169" s="3"/>
      <c r="E169" s="3"/>
      <c r="F169" s="3"/>
      <c r="G169" s="3">
        <f t="shared" si="44"/>
        <v>0</v>
      </c>
      <c r="H169" s="3"/>
      <c r="I169" s="3"/>
      <c r="J169" s="3"/>
      <c r="K169" s="3"/>
      <c r="L169" s="3"/>
      <c r="M169" s="3"/>
      <c r="O169" s="2" t="s">
        <v>9</v>
      </c>
      <c r="Q169" s="1">
        <f>$P$18-M167</f>
        <v>-9.6915515962360421E-2</v>
      </c>
      <c r="R169" s="1">
        <f>$P$19 - AE167</f>
        <v>3.0900096114466757E-3</v>
      </c>
      <c r="T169" s="3">
        <f t="shared" ref="T169:T174" si="47">$O$19</f>
        <v>0.2</v>
      </c>
      <c r="U169" s="3">
        <f t="shared" si="45"/>
        <v>2.2945864245800057E-6</v>
      </c>
      <c r="V169" s="3"/>
      <c r="W169" s="3"/>
      <c r="X169" s="3"/>
      <c r="Y169" s="3">
        <f t="shared" si="46"/>
        <v>0</v>
      </c>
      <c r="Z169" s="3"/>
      <c r="AA169" s="3"/>
      <c r="AB169" s="3"/>
      <c r="AC169" s="3"/>
      <c r="AD169" s="3"/>
      <c r="AE169" s="3"/>
      <c r="AF169"/>
    </row>
    <row r="170" spans="1:32" x14ac:dyDescent="0.3">
      <c r="B170" s="3">
        <f t="shared" si="42"/>
        <v>0.1</v>
      </c>
      <c r="C170" s="3">
        <f t="shared" si="43"/>
        <v>0</v>
      </c>
      <c r="D170" s="3"/>
      <c r="E170" s="3"/>
      <c r="F170" s="3"/>
      <c r="G170" s="3">
        <f t="shared" si="44"/>
        <v>0</v>
      </c>
      <c r="H170" s="3"/>
      <c r="I170" s="3"/>
      <c r="J170" s="3"/>
      <c r="K170" s="3"/>
      <c r="L170" s="3"/>
      <c r="M170" s="3"/>
      <c r="O170" s="3">
        <v>0.1</v>
      </c>
      <c r="Q170" s="1">
        <f>SUM(Q169,R169)</f>
        <v>-9.3825506350913745E-2</v>
      </c>
      <c r="T170" s="3">
        <f t="shared" si="47"/>
        <v>0.2</v>
      </c>
      <c r="U170" s="3">
        <f t="shared" si="45"/>
        <v>0</v>
      </c>
      <c r="V170" s="3"/>
      <c r="W170" s="3"/>
      <c r="X170" s="3"/>
      <c r="Y170" s="3">
        <f t="shared" si="46"/>
        <v>0</v>
      </c>
      <c r="Z170" s="3"/>
      <c r="AA170" s="3"/>
      <c r="AB170" s="3"/>
      <c r="AC170" s="3"/>
      <c r="AD170" s="3"/>
      <c r="AE170" s="3"/>
      <c r="AF170"/>
    </row>
    <row r="171" spans="1:32" x14ac:dyDescent="0.3">
      <c r="B171" s="3">
        <f t="shared" si="42"/>
        <v>0.1</v>
      </c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T171" s="3">
        <f>$O$19</f>
        <v>0.2</v>
      </c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/>
    </row>
    <row r="172" spans="1:32" x14ac:dyDescent="0.3">
      <c r="B172" s="3">
        <f t="shared" si="42"/>
        <v>0.1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T172" s="3">
        <f t="shared" si="47"/>
        <v>0.2</v>
      </c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/>
    </row>
    <row r="173" spans="1:32" x14ac:dyDescent="0.3">
      <c r="B173" s="3">
        <f t="shared" si="42"/>
        <v>0.1</v>
      </c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T173" s="3">
        <f t="shared" si="47"/>
        <v>0.2</v>
      </c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/>
    </row>
    <row r="174" spans="1:32" x14ac:dyDescent="0.3">
      <c r="B174" s="3">
        <f t="shared" si="42"/>
        <v>0.1</v>
      </c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T174" s="3">
        <f t="shared" si="47"/>
        <v>0.2</v>
      </c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/>
    </row>
    <row r="175" spans="1:32" x14ac:dyDescent="0.3">
      <c r="AF175"/>
    </row>
    <row r="176" spans="1:32" x14ac:dyDescent="0.3">
      <c r="A176" s="4" t="s">
        <v>7</v>
      </c>
      <c r="B176" s="5">
        <f>E167 * (1 - E167) * (G167 * F176 + G169 * F177)</f>
        <v>5.1892322712050832E-5</v>
      </c>
      <c r="C176" s="6"/>
      <c r="D176" s="6"/>
      <c r="E176" s="7"/>
      <c r="F176" s="5">
        <f>I167 * (1 - I167) * K167 *J176</f>
        <v>5.2008648227188736E-4</v>
      </c>
      <c r="G176" s="6"/>
      <c r="H176" s="6"/>
      <c r="I176" s="7"/>
      <c r="J176" s="5">
        <f>Q170</f>
        <v>-9.3825506350913745E-2</v>
      </c>
      <c r="K176" s="6"/>
      <c r="L176" s="6"/>
      <c r="M176" s="7"/>
      <c r="S176" s="4" t="s">
        <v>7</v>
      </c>
      <c r="T176" s="5">
        <f>W167 * (1 - W167) * (Y167 * X176 + Y169 * X177)</f>
        <v>5.1808956372138983E-5</v>
      </c>
      <c r="U176" s="6"/>
      <c r="V176" s="6"/>
      <c r="W176" s="7"/>
      <c r="X176" s="5">
        <f>AA167 * (1 - AA167) * AC167 *AB176</f>
        <v>5.1987402116506886E-4</v>
      </c>
      <c r="Y176" s="6"/>
      <c r="Z176" s="6"/>
      <c r="AA176" s="7"/>
      <c r="AB176" s="5">
        <f>Q170</f>
        <v>-9.3825506350913745E-2</v>
      </c>
      <c r="AC176" s="6"/>
      <c r="AD176" s="6"/>
      <c r="AE176" s="7"/>
      <c r="AF176"/>
    </row>
    <row r="177" spans="2:32" x14ac:dyDescent="0.3">
      <c r="B177" s="5">
        <f>E168 * (1 - E168) * (G168 * F176 + G170 * F177)</f>
        <v>0</v>
      </c>
      <c r="C177" s="6"/>
      <c r="D177" s="6"/>
      <c r="E177" s="7"/>
      <c r="F177" s="5">
        <f>J168 * (1 - J168) * K168 * J176</f>
        <v>0</v>
      </c>
      <c r="G177" s="6"/>
      <c r="H177" s="6"/>
      <c r="I177" s="7"/>
      <c r="T177" s="5">
        <f>W168 * (1 - W168) * (Y168 * X176 + Y170 * X177)</f>
        <v>0</v>
      </c>
      <c r="U177" s="6"/>
      <c r="V177" s="6"/>
      <c r="W177" s="7"/>
      <c r="X177" s="5">
        <f>AB168 * (1 - AB168) * AC168 * AB176</f>
        <v>0</v>
      </c>
      <c r="Y177" s="6"/>
      <c r="Z177" s="6"/>
      <c r="AA177" s="7"/>
      <c r="AF177"/>
    </row>
    <row r="178" spans="2:32" x14ac:dyDescent="0.3">
      <c r="AF178"/>
    </row>
    <row r="179" spans="2:32" x14ac:dyDescent="0.3">
      <c r="B179" s="8" t="s">
        <v>4</v>
      </c>
      <c r="C179" s="8"/>
      <c r="D179" s="8"/>
      <c r="E179" s="8"/>
      <c r="F179" s="8" t="s">
        <v>5</v>
      </c>
      <c r="G179" s="8"/>
      <c r="H179" s="8"/>
      <c r="I179" s="8"/>
      <c r="J179" s="8" t="s">
        <v>6</v>
      </c>
      <c r="K179" s="8"/>
      <c r="L179" s="8"/>
      <c r="M179" s="8"/>
      <c r="T179" s="8" t="s">
        <v>4</v>
      </c>
      <c r="U179" s="8"/>
      <c r="V179" s="8"/>
      <c r="W179" s="8"/>
      <c r="X179" s="8" t="s">
        <v>5</v>
      </c>
      <c r="Y179" s="8"/>
      <c r="Z179" s="8"/>
      <c r="AA179" s="8"/>
      <c r="AB179" s="8" t="s">
        <v>6</v>
      </c>
      <c r="AC179" s="8"/>
      <c r="AD179" s="8"/>
      <c r="AE179" s="8"/>
      <c r="AF179"/>
    </row>
    <row r="180" spans="2:32" x14ac:dyDescent="0.3"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O180" s="2" t="s">
        <v>0</v>
      </c>
      <c r="P180" s="2" t="s">
        <v>8</v>
      </c>
      <c r="Q180" s="2" t="s">
        <v>11</v>
      </c>
      <c r="R180" s="2" t="s">
        <v>10</v>
      </c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/>
    </row>
    <row r="181" spans="2:32" x14ac:dyDescent="0.3">
      <c r="B181" s="3" t="s">
        <v>0</v>
      </c>
      <c r="C181" s="3" t="s">
        <v>1</v>
      </c>
      <c r="D181" s="3" t="s">
        <v>2</v>
      </c>
      <c r="E181" s="3" t="s">
        <v>3</v>
      </c>
      <c r="F181" s="3" t="s">
        <v>0</v>
      </c>
      <c r="G181" s="3" t="s">
        <v>1</v>
      </c>
      <c r="H181" s="3" t="s">
        <v>2</v>
      </c>
      <c r="I181" s="3" t="s">
        <v>3</v>
      </c>
      <c r="J181" s="3" t="s">
        <v>0</v>
      </c>
      <c r="K181" s="3" t="s">
        <v>1</v>
      </c>
      <c r="L181" s="3" t="s">
        <v>2</v>
      </c>
      <c r="M181" s="3" t="s">
        <v>3</v>
      </c>
      <c r="O181" s="3">
        <v>0.1</v>
      </c>
      <c r="P181" s="3">
        <v>0.4</v>
      </c>
      <c r="Q181" s="3">
        <f>M1329</f>
        <v>0</v>
      </c>
      <c r="R181" s="3">
        <f>P181-Q181</f>
        <v>0.4</v>
      </c>
      <c r="T181" s="3" t="s">
        <v>0</v>
      </c>
      <c r="U181" s="3" t="s">
        <v>1</v>
      </c>
      <c r="V181" s="3" t="s">
        <v>2</v>
      </c>
      <c r="W181" s="3" t="s">
        <v>3</v>
      </c>
      <c r="X181" s="3" t="s">
        <v>0</v>
      </c>
      <c r="Y181" s="3" t="s">
        <v>1</v>
      </c>
      <c r="Z181" s="3" t="s">
        <v>2</v>
      </c>
      <c r="AA181" s="3" t="s">
        <v>3</v>
      </c>
      <c r="AB181" s="3" t="s">
        <v>0</v>
      </c>
      <c r="AC181" s="3" t="s">
        <v>1</v>
      </c>
      <c r="AD181" s="3" t="s">
        <v>2</v>
      </c>
      <c r="AE181" s="3" t="s">
        <v>3</v>
      </c>
      <c r="AF181"/>
    </row>
    <row r="182" spans="2:32" x14ac:dyDescent="0.3">
      <c r="B182" s="3">
        <f>$B$4</f>
        <v>0.1</v>
      </c>
      <c r="C182" s="3">
        <f>C167 + $O$7 * B167 * B176</f>
        <v>0.3999422528201646</v>
      </c>
      <c r="D182" s="3">
        <f>B182*C182+B183*C183</f>
        <v>3.9993809036138903E-2</v>
      </c>
      <c r="E182" s="3">
        <f>1/(1+EXP(-D182))</f>
        <v>0.50999711975783579</v>
      </c>
      <c r="F182" s="3">
        <f>E182</f>
        <v>0.50999711975783579</v>
      </c>
      <c r="G182" s="3">
        <f>G167 + $O$7 * F167 * F176</f>
        <v>0.39929147456457814</v>
      </c>
      <c r="H182" s="3">
        <f>F182*G182+F183*G183</f>
        <v>0.20365050413683425</v>
      </c>
      <c r="I182" s="3">
        <f>1/(1+EXP(-H182))</f>
        <v>0.55073739223697016</v>
      </c>
      <c r="J182" s="3">
        <f>I182</f>
        <v>0.55073739223697016</v>
      </c>
      <c r="K182" s="3">
        <f>K167 + $O$7 * J167 * J176</f>
        <v>-2.7570386924690268E-2</v>
      </c>
      <c r="L182" s="3">
        <f>J182*K182+J183*K183</f>
        <v>-1.7529680656641022E-2</v>
      </c>
      <c r="M182" s="3">
        <f>1/(1+EXP(-L182))</f>
        <v>0.49561769205510758</v>
      </c>
      <c r="O182" s="3">
        <v>0.2</v>
      </c>
      <c r="P182" s="3">
        <v>0.5</v>
      </c>
      <c r="Q182" s="3">
        <f>AE1329</f>
        <v>0</v>
      </c>
      <c r="R182" s="3">
        <f>P182-Q182</f>
        <v>0.5</v>
      </c>
      <c r="T182" s="3">
        <f>$O$19</f>
        <v>0.2</v>
      </c>
      <c r="U182" s="3">
        <f>C182</f>
        <v>0.3999422528201646</v>
      </c>
      <c r="V182" s="3">
        <f>T182*U182+T183*U183</f>
        <v>7.9987618072277805E-2</v>
      </c>
      <c r="W182" s="3">
        <f>1/(1+EXP(-V182))</f>
        <v>0.5199862496203792</v>
      </c>
      <c r="X182" s="3">
        <f>W182</f>
        <v>0.5199862496203792</v>
      </c>
      <c r="Y182" s="3">
        <f>G182</f>
        <v>0.39929147456457814</v>
      </c>
      <c r="Z182" s="3">
        <f>X182*Y182+X183*Y183</f>
        <v>0.20763907853075803</v>
      </c>
      <c r="AA182" s="3">
        <f>1/(1+EXP(-Z182))</f>
        <v>0.55172406713498445</v>
      </c>
      <c r="AB182" s="3">
        <f>AA182</f>
        <v>0.55172406713498445</v>
      </c>
      <c r="AC182" s="3">
        <f>K182</f>
        <v>-2.7570386924690268E-2</v>
      </c>
      <c r="AD182" s="3">
        <f>AB182*AC182+AB183*AC183</f>
        <v>-1.7556883665348154E-2</v>
      </c>
      <c r="AE182" s="3">
        <f>1/(1+EXP(-AD182))</f>
        <v>0.49561089182616541</v>
      </c>
      <c r="AF182"/>
    </row>
    <row r="183" spans="2:32" x14ac:dyDescent="0.3">
      <c r="B183" s="3">
        <f>$B$5</f>
        <v>0.1</v>
      </c>
      <c r="C183" s="3">
        <f>C168 + $O$7 * B168 * B176</f>
        <v>-4.1624587756063049E-6</v>
      </c>
      <c r="D183" s="3">
        <f>B182*C184+B183*C185</f>
        <v>2.2945864245800058E-7</v>
      </c>
      <c r="E183" s="3">
        <f>1/(1+EXP(-D183))</f>
        <v>0.50000005736466058</v>
      </c>
      <c r="F183" s="3">
        <f>E183</f>
        <v>0.50000005736466058</v>
      </c>
      <c r="G183" s="3">
        <f>G168 + $O$7 * F168 * F176</f>
        <v>2.6004327097052823E-5</v>
      </c>
      <c r="H183" s="3">
        <f>F182*G184+F183*G185</f>
        <v>0</v>
      </c>
      <c r="I183" s="3">
        <f>1/(1+EXP(-H183))</f>
        <v>0.5</v>
      </c>
      <c r="J183" s="3">
        <f>I183</f>
        <v>0.5</v>
      </c>
      <c r="K183" s="3">
        <f>K168 + $O$7* J168 * J176</f>
        <v>-4.6912753175456876E-3</v>
      </c>
      <c r="L183" s="3"/>
      <c r="M183" s="3"/>
      <c r="O183" s="3"/>
      <c r="P183" s="3"/>
      <c r="Q183" s="3"/>
      <c r="R183" s="3"/>
      <c r="T183" s="3">
        <f>$O$19</f>
        <v>0.2</v>
      </c>
      <c r="U183" s="3">
        <f t="shared" ref="U183:U185" si="48">C183</f>
        <v>-4.1624587756063049E-6</v>
      </c>
      <c r="V183" s="3">
        <f>T182*U184+T183*U185</f>
        <v>4.5891728491600115E-7</v>
      </c>
      <c r="W183" s="3">
        <f>1/(1+EXP(-V183))</f>
        <v>0.50000011472932127</v>
      </c>
      <c r="X183" s="3">
        <f>W183</f>
        <v>0.50000011472932127</v>
      </c>
      <c r="Y183" s="3">
        <f t="shared" ref="Y183:Y185" si="49">G183</f>
        <v>2.6004327097052823E-5</v>
      </c>
      <c r="Z183" s="3">
        <f>X182*Y184+X183*Y185</f>
        <v>0</v>
      </c>
      <c r="AA183" s="3">
        <f>1/(1+EXP(-Z183))</f>
        <v>0.5</v>
      </c>
      <c r="AB183" s="3">
        <f>AA183</f>
        <v>0.5</v>
      </c>
      <c r="AC183" s="3">
        <f>K183</f>
        <v>-4.6912753175456876E-3</v>
      </c>
      <c r="AD183" s="3"/>
      <c r="AE183" s="3"/>
      <c r="AF183"/>
    </row>
    <row r="184" spans="2:32" x14ac:dyDescent="0.3">
      <c r="B184" s="3">
        <f>$B$6</f>
        <v>0.1</v>
      </c>
      <c r="C184" s="3">
        <f>C169 + $O$7 * B167 * B177</f>
        <v>2.2945864245800057E-6</v>
      </c>
      <c r="D184" s="3"/>
      <c r="E184" s="3"/>
      <c r="F184" s="3"/>
      <c r="G184" s="3">
        <f>G169 + $O$7 * F167 * F177</f>
        <v>0</v>
      </c>
      <c r="H184" s="3"/>
      <c r="I184" s="3"/>
      <c r="J184" s="3"/>
      <c r="K184" s="3"/>
      <c r="L184" s="3"/>
      <c r="M184" s="3"/>
      <c r="O184" s="3"/>
      <c r="P184" s="3"/>
      <c r="Q184" s="3"/>
      <c r="R184" s="3"/>
      <c r="T184" s="3">
        <f t="shared" ref="T184:T189" si="50">$O$19</f>
        <v>0.2</v>
      </c>
      <c r="U184" s="3">
        <f t="shared" si="48"/>
        <v>2.2945864245800057E-6</v>
      </c>
      <c r="V184" s="3"/>
      <c r="W184" s="3"/>
      <c r="X184" s="3"/>
      <c r="Y184" s="3">
        <f t="shared" si="49"/>
        <v>0</v>
      </c>
      <c r="Z184" s="3"/>
      <c r="AA184" s="3"/>
      <c r="AB184" s="3"/>
      <c r="AC184" s="3"/>
      <c r="AD184" s="3"/>
      <c r="AE184" s="3"/>
      <c r="AF184"/>
    </row>
    <row r="185" spans="2:32" x14ac:dyDescent="0.3">
      <c r="B185" s="3">
        <f>$B$7</f>
        <v>0.1</v>
      </c>
      <c r="C185" s="3">
        <f>C170 + $O$7 * B168* B177</f>
        <v>0</v>
      </c>
      <c r="D185" s="3"/>
      <c r="E185" s="3"/>
      <c r="F185" s="3"/>
      <c r="G185" s="3">
        <f>G170 + $O$7 * F168* F177</f>
        <v>0</v>
      </c>
      <c r="H185" s="3"/>
      <c r="I185" s="3"/>
      <c r="J185" s="3"/>
      <c r="K185" s="3"/>
      <c r="L185" s="3"/>
      <c r="M185" s="3"/>
      <c r="O185" s="3"/>
      <c r="P185" s="3"/>
      <c r="Q185" s="3"/>
      <c r="R185" s="3"/>
      <c r="T185" s="3">
        <f t="shared" si="50"/>
        <v>0.2</v>
      </c>
      <c r="U185" s="3">
        <f t="shared" si="48"/>
        <v>0</v>
      </c>
      <c r="V185" s="3"/>
      <c r="W185" s="3"/>
      <c r="X185" s="3"/>
      <c r="Y185" s="3">
        <f t="shared" si="49"/>
        <v>0</v>
      </c>
      <c r="Z185" s="3"/>
      <c r="AA185" s="3"/>
      <c r="AB185" s="3"/>
      <c r="AC185" s="3"/>
      <c r="AD185" s="3"/>
      <c r="AE185" s="3"/>
      <c r="AF185"/>
    </row>
    <row r="186" spans="2:32" x14ac:dyDescent="0.3">
      <c r="B186" s="3">
        <f>$B$8</f>
        <v>0.1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O186" s="3"/>
      <c r="P186" s="3"/>
      <c r="Q186" s="3"/>
      <c r="R186" s="3"/>
      <c r="T186" s="3">
        <f>$O$19</f>
        <v>0.2</v>
      </c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/>
    </row>
    <row r="187" spans="2:32" x14ac:dyDescent="0.3">
      <c r="B187" s="3">
        <f>$B$9</f>
        <v>0.1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O187" s="3"/>
      <c r="P187" s="3"/>
      <c r="Q187" s="3"/>
      <c r="R187" s="3"/>
      <c r="T187" s="3">
        <f t="shared" si="50"/>
        <v>0.2</v>
      </c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/>
    </row>
    <row r="188" spans="2:32" x14ac:dyDescent="0.3">
      <c r="B188" s="3">
        <f>$B$10</f>
        <v>0.1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O188" s="3"/>
      <c r="P188" s="3"/>
      <c r="Q188" s="3"/>
      <c r="R188" s="3"/>
      <c r="T188" s="3">
        <f t="shared" si="50"/>
        <v>0.2</v>
      </c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/>
    </row>
    <row r="189" spans="2:32" x14ac:dyDescent="0.3">
      <c r="B189" s="3">
        <f>$B$11</f>
        <v>0.1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O189" s="3"/>
      <c r="P189" s="3"/>
      <c r="Q189" s="3"/>
      <c r="R189" s="3"/>
      <c r="T189" s="3">
        <f t="shared" si="50"/>
        <v>0.2</v>
      </c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/>
    </row>
    <row r="190" spans="2:32" x14ac:dyDescent="0.3">
      <c r="AF190"/>
    </row>
    <row r="191" spans="2:32" x14ac:dyDescent="0.3">
      <c r="AF191"/>
    </row>
    <row r="192" spans="2:32" x14ac:dyDescent="0.3">
      <c r="T192" s="8" t="s">
        <v>4</v>
      </c>
      <c r="U192" s="8"/>
      <c r="V192" s="8"/>
      <c r="W192" s="8"/>
      <c r="X192" s="8" t="s">
        <v>5</v>
      </c>
      <c r="Y192" s="8"/>
      <c r="Z192" s="8"/>
      <c r="AA192" s="8"/>
      <c r="AB192" s="8" t="s">
        <v>6</v>
      </c>
      <c r="AC192" s="8"/>
      <c r="AD192" s="8"/>
      <c r="AE192" s="8"/>
      <c r="AF192"/>
    </row>
    <row r="193" spans="1:32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/>
    </row>
    <row r="194" spans="1:32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 s="3" t="s">
        <v>0</v>
      </c>
      <c r="U194" s="3" t="s">
        <v>1</v>
      </c>
      <c r="V194" s="3" t="s">
        <v>2</v>
      </c>
      <c r="W194" s="3" t="s">
        <v>3</v>
      </c>
      <c r="X194" s="3" t="s">
        <v>0</v>
      </c>
      <c r="Y194" s="3" t="s">
        <v>1</v>
      </c>
      <c r="Z194" s="3" t="s">
        <v>2</v>
      </c>
      <c r="AA194" s="3" t="s">
        <v>3</v>
      </c>
      <c r="AB194" s="3" t="s">
        <v>0</v>
      </c>
      <c r="AC194" s="3" t="s">
        <v>1</v>
      </c>
      <c r="AD194" s="3" t="s">
        <v>2</v>
      </c>
      <c r="AE194" s="3" t="s">
        <v>3</v>
      </c>
      <c r="AF194"/>
    </row>
    <row r="195" spans="1:32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 s="3">
        <f>$O$19</f>
        <v>0.2</v>
      </c>
      <c r="U195" s="3">
        <f>U182 + $O$7 * T167 * T176</f>
        <v>0.39994328899929205</v>
      </c>
      <c r="V195" s="3">
        <f>T195*U195+T196*U196</f>
        <v>7.9988032543928791E-2</v>
      </c>
      <c r="W195" s="3">
        <f>1/(1+EXP(-V195))</f>
        <v>0.51998635307273045</v>
      </c>
      <c r="X195" s="3">
        <f>W195</f>
        <v>0.51998635307273045</v>
      </c>
      <c r="Y195" s="3">
        <f>Y167 + $O$7 * X167 * X176</f>
        <v>0.39929198303668928</v>
      </c>
      <c r="Z195" s="3">
        <f>X195*Y195+X196*Y196</f>
        <v>0.20763937892692022</v>
      </c>
      <c r="AA195" s="3">
        <f>1/(1+EXP(-Z195))</f>
        <v>0.5517241414303502</v>
      </c>
      <c r="AB195" s="3">
        <f>AA195</f>
        <v>0.5517241414303502</v>
      </c>
      <c r="AC195" s="3">
        <f>AC167 + $P$19 * AB167 * AB176</f>
        <v>-4.8285710922247302E-2</v>
      </c>
      <c r="AD195" s="3">
        <f>AB195*AC195+AB196*AC196</f>
        <v>-3.8368580695795199E-2</v>
      </c>
      <c r="AE195" s="3">
        <f>1/(1+EXP(-AD195))</f>
        <v>0.49040903140760672</v>
      </c>
      <c r="AF195"/>
    </row>
    <row r="196" spans="1:32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 s="3">
        <f t="shared" ref="T196:T202" si="51">$O$19</f>
        <v>0.2</v>
      </c>
      <c r="U196" s="3">
        <f>U183 + $O$7 * T167 * T176</f>
        <v>-3.1262796481635251E-6</v>
      </c>
      <c r="V196" s="3">
        <f>T195*U197+T196*U198</f>
        <v>4.5891728491600115E-7</v>
      </c>
      <c r="W196" s="3">
        <f>1/(1+EXP(-V196))</f>
        <v>0.50000011472932127</v>
      </c>
      <c r="X196" s="3">
        <f>W196</f>
        <v>0.50000011472932127</v>
      </c>
      <c r="Y196" s="3">
        <f>Y168 + $O$7 * X168 * X176</f>
        <v>2.5993707022732803E-5</v>
      </c>
      <c r="Z196" s="3">
        <f>X195*Y197+X196*Y198</f>
        <v>0</v>
      </c>
      <c r="AA196" s="3">
        <f>1/(1+EXP(-Z196))</f>
        <v>0.5</v>
      </c>
      <c r="AB196" s="3">
        <f>AA196</f>
        <v>0.5</v>
      </c>
      <c r="AC196" s="3">
        <f>AC168 + $P$19 * AB168 * AB176</f>
        <v>-2.3456376587728436E-2</v>
      </c>
      <c r="AD196" s="3"/>
      <c r="AE196" s="3"/>
      <c r="AF196"/>
    </row>
    <row r="197" spans="1:32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 s="3">
        <f t="shared" si="51"/>
        <v>0.2</v>
      </c>
      <c r="U197" s="3">
        <f>U184 + $O$7 * T167 * T177</f>
        <v>2.2945864245800057E-6</v>
      </c>
      <c r="V197" s="3"/>
      <c r="W197" s="3"/>
      <c r="X197" s="3"/>
      <c r="Y197" s="3">
        <f>Y169 + $O$7 * X167 * X177</f>
        <v>0</v>
      </c>
      <c r="Z197" s="3"/>
      <c r="AA197" s="3"/>
      <c r="AB197" s="3"/>
      <c r="AC197" s="3"/>
      <c r="AD197" s="3"/>
      <c r="AE197" s="3"/>
      <c r="AF197"/>
    </row>
    <row r="198" spans="1:32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 s="3">
        <f t="shared" si="51"/>
        <v>0.2</v>
      </c>
      <c r="U198" s="3">
        <f>U185 + $O$7 * T167 * T177</f>
        <v>0</v>
      </c>
      <c r="V198" s="3"/>
      <c r="W198" s="3"/>
      <c r="X198" s="3"/>
      <c r="Y198" s="3">
        <f>Y170 + $O$7 * X168* X177</f>
        <v>0</v>
      </c>
      <c r="Z198" s="3"/>
      <c r="AA198" s="3"/>
      <c r="AB198" s="3"/>
      <c r="AC198" s="3"/>
      <c r="AD198" s="3"/>
      <c r="AE198" s="3"/>
      <c r="AF198"/>
    </row>
    <row r="199" spans="1:32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 s="3">
        <f t="shared" si="51"/>
        <v>0.2</v>
      </c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/>
    </row>
    <row r="200" spans="1:32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 s="3">
        <f t="shared" si="51"/>
        <v>0.2</v>
      </c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/>
    </row>
    <row r="201" spans="1:32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 s="3">
        <f t="shared" si="51"/>
        <v>0.2</v>
      </c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/>
    </row>
    <row r="202" spans="1:32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 s="3">
        <f t="shared" si="51"/>
        <v>0.2</v>
      </c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/>
    </row>
    <row r="203" spans="1:32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</row>
    <row r="204" spans="1:32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</row>
    <row r="205" spans="1:32" x14ac:dyDescent="0.3">
      <c r="B205" s="8" t="s">
        <v>4</v>
      </c>
      <c r="C205" s="8"/>
      <c r="D205" s="8"/>
      <c r="E205" s="8"/>
      <c r="F205" s="8" t="s">
        <v>5</v>
      </c>
      <c r="G205" s="8"/>
      <c r="H205" s="8"/>
      <c r="I205" s="8"/>
      <c r="J205" s="8" t="s">
        <v>6</v>
      </c>
      <c r="K205" s="8"/>
      <c r="L205" s="8"/>
      <c r="M205" s="8"/>
      <c r="T205" s="8" t="s">
        <v>4</v>
      </c>
      <c r="U205" s="8"/>
      <c r="V205" s="8"/>
      <c r="W205" s="8"/>
      <c r="X205" s="8" t="s">
        <v>5</v>
      </c>
      <c r="Y205" s="8"/>
      <c r="Z205" s="8"/>
      <c r="AA205" s="8"/>
      <c r="AB205" s="8" t="s">
        <v>6</v>
      </c>
      <c r="AC205" s="8"/>
      <c r="AD205" s="8"/>
      <c r="AE205" s="8"/>
      <c r="AF205"/>
    </row>
    <row r="206" spans="1:32" x14ac:dyDescent="0.3"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/>
    </row>
    <row r="207" spans="1:32" x14ac:dyDescent="0.3">
      <c r="B207" s="3" t="s">
        <v>0</v>
      </c>
      <c r="C207" s="3" t="s">
        <v>1</v>
      </c>
      <c r="D207" s="3" t="s">
        <v>2</v>
      </c>
      <c r="E207" s="3" t="s">
        <v>3</v>
      </c>
      <c r="F207" s="3" t="s">
        <v>0</v>
      </c>
      <c r="G207" s="3" t="s">
        <v>1</v>
      </c>
      <c r="H207" s="3" t="s">
        <v>2</v>
      </c>
      <c r="I207" s="3" t="s">
        <v>3</v>
      </c>
      <c r="J207" s="3" t="s">
        <v>0</v>
      </c>
      <c r="K207" s="3" t="s">
        <v>1</v>
      </c>
      <c r="L207" s="3" t="s">
        <v>2</v>
      </c>
      <c r="M207" s="3" t="s">
        <v>3</v>
      </c>
      <c r="T207" s="3" t="s">
        <v>0</v>
      </c>
      <c r="U207" s="3" t="s">
        <v>1</v>
      </c>
      <c r="V207" s="3" t="s">
        <v>2</v>
      </c>
      <c r="W207" s="3" t="s">
        <v>3</v>
      </c>
      <c r="X207" s="3" t="s">
        <v>0</v>
      </c>
      <c r="Y207" s="3" t="s">
        <v>1</v>
      </c>
      <c r="Z207" s="3" t="s">
        <v>2</v>
      </c>
      <c r="AA207" s="3" t="s">
        <v>3</v>
      </c>
      <c r="AB207" s="3" t="s">
        <v>0</v>
      </c>
      <c r="AC207" s="3" t="s">
        <v>1</v>
      </c>
      <c r="AD207" s="3" t="s">
        <v>2</v>
      </c>
      <c r="AE207" s="3" t="s">
        <v>3</v>
      </c>
      <c r="AF207"/>
    </row>
    <row r="208" spans="1:32" x14ac:dyDescent="0.3">
      <c r="B208" s="3">
        <f>$O$18</f>
        <v>0.1</v>
      </c>
      <c r="C208" s="3">
        <f>U196</f>
        <v>-3.1262796481635251E-6</v>
      </c>
      <c r="D208" s="3">
        <f>B208*C208+B209*C209</f>
        <v>-8.3169322358351978E-8</v>
      </c>
      <c r="E208" s="3">
        <f>1/(1+EXP(-D208))</f>
        <v>0.49999997920766948</v>
      </c>
      <c r="F208" s="3">
        <f>E208</f>
        <v>0.49999997920766948</v>
      </c>
      <c r="G208" s="3">
        <f>Y196</f>
        <v>2.5993707022732803E-5</v>
      </c>
      <c r="H208" s="3">
        <f>F208*G208+F209*G209</f>
        <v>1.2996852970896653E-5</v>
      </c>
      <c r="I208" s="3">
        <f>1/(1+EXP(-H208))</f>
        <v>0.50000324921324268</v>
      </c>
      <c r="J208" s="3">
        <f>I208</f>
        <v>0.50000324921324268</v>
      </c>
      <c r="K208" s="3">
        <f>AC196</f>
        <v>-2.3456376587728436E-2</v>
      </c>
      <c r="L208" s="3">
        <f>J208*K208+J209*K209</f>
        <v>-1.1728264508633653E-2</v>
      </c>
      <c r="M208" s="3">
        <f>1/(1+EXP(-L208))</f>
        <v>0.49706796748172188</v>
      </c>
      <c r="T208" s="3">
        <f>$O$19</f>
        <v>0.2</v>
      </c>
      <c r="U208" s="3">
        <f>C208</f>
        <v>-3.1262796481635251E-6</v>
      </c>
      <c r="V208" s="3">
        <f>T208*U208+T209*U209</f>
        <v>-1.6633864471670396E-7</v>
      </c>
      <c r="W208" s="3">
        <f>1/(1+EXP(-V208))</f>
        <v>0.49999995841533884</v>
      </c>
      <c r="X208" s="3">
        <f>W208</f>
        <v>0.49999995841533884</v>
      </c>
      <c r="Y208" s="3">
        <f>G208</f>
        <v>2.5993707022732803E-5</v>
      </c>
      <c r="Z208" s="3">
        <f>X208*Y208+X209*Y209</f>
        <v>1.2996852430426903E-5</v>
      </c>
      <c r="AA208" s="3">
        <f>1/(1+EXP(-Z208))</f>
        <v>0.50000324921310757</v>
      </c>
      <c r="AB208" s="3">
        <f>AA208</f>
        <v>0.50000324921310757</v>
      </c>
      <c r="AC208" s="3">
        <f>K208</f>
        <v>-2.3456376587728436E-2</v>
      </c>
      <c r="AD208" s="3">
        <f>AB208*AC208+AB209*AC209</f>
        <v>-1.1728264508630484E-2</v>
      </c>
      <c r="AE208" s="3">
        <f>1/(1+EXP(-AD208))</f>
        <v>0.49706796748172277</v>
      </c>
      <c r="AF208"/>
    </row>
    <row r="209" spans="1:32" x14ac:dyDescent="0.3">
      <c r="B209" s="3">
        <f t="shared" ref="B209:B215" si="52">$O$18</f>
        <v>0.1</v>
      </c>
      <c r="C209" s="3">
        <f t="shared" ref="C209:C211" si="53">U197</f>
        <v>2.2945864245800057E-6</v>
      </c>
      <c r="D209" s="3">
        <f>B208*C210+B209*C211</f>
        <v>0</v>
      </c>
      <c r="E209" s="3">
        <f>1/(1+EXP(-D209))</f>
        <v>0.5</v>
      </c>
      <c r="F209" s="3">
        <f>E209</f>
        <v>0.5</v>
      </c>
      <c r="G209" s="3">
        <f t="shared" ref="G209:G211" si="54">Y197</f>
        <v>0</v>
      </c>
      <c r="H209" s="3">
        <f>F208*G210+F209*G211</f>
        <v>0</v>
      </c>
      <c r="I209" s="3">
        <f>1/(1+EXP(-H209))</f>
        <v>0.5</v>
      </c>
      <c r="J209" s="3">
        <f>I209</f>
        <v>0.5</v>
      </c>
      <c r="K209" s="3">
        <f>AC197</f>
        <v>0</v>
      </c>
      <c r="L209" s="3"/>
      <c r="M209" s="3"/>
      <c r="T209" s="3">
        <f>$O$19</f>
        <v>0.2</v>
      </c>
      <c r="U209" s="3">
        <f t="shared" ref="U209:U211" si="55">C209</f>
        <v>2.2945864245800057E-6</v>
      </c>
      <c r="V209" s="3">
        <f>T208*U210+T209*U211</f>
        <v>0</v>
      </c>
      <c r="W209" s="3">
        <f>1/(1+EXP(-V209))</f>
        <v>0.5</v>
      </c>
      <c r="X209" s="3">
        <f>W209</f>
        <v>0.5</v>
      </c>
      <c r="Y209" s="3">
        <f t="shared" ref="Y209:Y211" si="56">G209</f>
        <v>0</v>
      </c>
      <c r="Z209" s="3">
        <f>X208*Y210+X209*Y211</f>
        <v>0</v>
      </c>
      <c r="AA209" s="3">
        <f>1/(1+EXP(-Z209))</f>
        <v>0.5</v>
      </c>
      <c r="AB209" s="3">
        <f>AA209</f>
        <v>0.5</v>
      </c>
      <c r="AC209" s="3">
        <f>K209</f>
        <v>0</v>
      </c>
      <c r="AD209" s="3"/>
      <c r="AE209" s="3"/>
      <c r="AF209"/>
    </row>
    <row r="210" spans="1:32" x14ac:dyDescent="0.3">
      <c r="B210" s="3">
        <f t="shared" si="52"/>
        <v>0.1</v>
      </c>
      <c r="C210" s="3">
        <f t="shared" si="53"/>
        <v>0</v>
      </c>
      <c r="D210" s="3"/>
      <c r="E210" s="3"/>
      <c r="F210" s="3"/>
      <c r="G210" s="3">
        <f t="shared" si="54"/>
        <v>0</v>
      </c>
      <c r="H210" s="3"/>
      <c r="I210" s="3"/>
      <c r="J210" s="3"/>
      <c r="K210" s="3"/>
      <c r="L210" s="3"/>
      <c r="M210" s="3"/>
      <c r="O210" s="2" t="s">
        <v>9</v>
      </c>
      <c r="Q210" s="1">
        <f>$P$18-M208</f>
        <v>-9.7067967481721862E-2</v>
      </c>
      <c r="R210" s="1">
        <f>$P$19 - AE208</f>
        <v>2.9320325182772278E-3</v>
      </c>
      <c r="T210" s="3">
        <f t="shared" ref="T210:T215" si="57">$O$19</f>
        <v>0.2</v>
      </c>
      <c r="U210" s="3">
        <f t="shared" si="55"/>
        <v>0</v>
      </c>
      <c r="V210" s="3"/>
      <c r="W210" s="3"/>
      <c r="X210" s="3"/>
      <c r="Y210" s="3">
        <f t="shared" si="56"/>
        <v>0</v>
      </c>
      <c r="Z210" s="3"/>
      <c r="AA210" s="3"/>
      <c r="AB210" s="3"/>
      <c r="AC210" s="3"/>
      <c r="AD210" s="3"/>
      <c r="AE210" s="3"/>
      <c r="AF210"/>
    </row>
    <row r="211" spans="1:32" x14ac:dyDescent="0.3">
      <c r="B211" s="3">
        <f t="shared" si="52"/>
        <v>0.1</v>
      </c>
      <c r="C211" s="3">
        <f t="shared" si="53"/>
        <v>0</v>
      </c>
      <c r="D211" s="3"/>
      <c r="E211" s="3"/>
      <c r="F211" s="3"/>
      <c r="G211" s="3">
        <f t="shared" si="54"/>
        <v>0</v>
      </c>
      <c r="H211" s="3"/>
      <c r="I211" s="3"/>
      <c r="J211" s="3"/>
      <c r="K211" s="3"/>
      <c r="L211" s="3"/>
      <c r="M211" s="3"/>
      <c r="O211" s="3">
        <v>0.1</v>
      </c>
      <c r="Q211" s="1">
        <f>SUM(Q210,R210)</f>
        <v>-9.4135934963444634E-2</v>
      </c>
      <c r="T211" s="3">
        <f t="shared" si="57"/>
        <v>0.2</v>
      </c>
      <c r="U211" s="3">
        <f t="shared" si="55"/>
        <v>0</v>
      </c>
      <c r="V211" s="3"/>
      <c r="W211" s="3"/>
      <c r="X211" s="3"/>
      <c r="Y211" s="3">
        <f t="shared" si="56"/>
        <v>0</v>
      </c>
      <c r="Z211" s="3"/>
      <c r="AA211" s="3"/>
      <c r="AB211" s="3"/>
      <c r="AC211" s="3"/>
      <c r="AD211" s="3"/>
      <c r="AE211" s="3"/>
      <c r="AF211"/>
    </row>
    <row r="212" spans="1:32" x14ac:dyDescent="0.3">
      <c r="B212" s="3">
        <f t="shared" si="52"/>
        <v>0.1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T212" s="3">
        <f>$O$19</f>
        <v>0.2</v>
      </c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/>
    </row>
    <row r="213" spans="1:32" x14ac:dyDescent="0.3">
      <c r="B213" s="3">
        <f t="shared" si="52"/>
        <v>0.1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T213" s="3">
        <f t="shared" si="57"/>
        <v>0.2</v>
      </c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/>
    </row>
    <row r="214" spans="1:32" x14ac:dyDescent="0.3">
      <c r="B214" s="3">
        <f t="shared" si="52"/>
        <v>0.1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T214" s="3">
        <f t="shared" si="57"/>
        <v>0.2</v>
      </c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/>
    </row>
    <row r="215" spans="1:32" x14ac:dyDescent="0.3">
      <c r="B215" s="3">
        <f t="shared" si="52"/>
        <v>0.1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T215" s="3">
        <f t="shared" si="57"/>
        <v>0.2</v>
      </c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/>
    </row>
    <row r="216" spans="1:32" x14ac:dyDescent="0.3">
      <c r="AF216"/>
    </row>
    <row r="217" spans="1:32" x14ac:dyDescent="0.3">
      <c r="A217" s="4" t="s">
        <v>7</v>
      </c>
      <c r="B217" s="5">
        <f>E208 * (1 - E208) * (G208 * F217 + G210 * F218)</f>
        <v>3.5872744384257488E-9</v>
      </c>
      <c r="C217" s="6"/>
      <c r="D217" s="6"/>
      <c r="E217" s="7"/>
      <c r="F217" s="5">
        <f>I208 * (1 - I208) * K208 *J217</f>
        <v>5.5202198521180578E-4</v>
      </c>
      <c r="G217" s="6"/>
      <c r="H217" s="6"/>
      <c r="I217" s="7"/>
      <c r="J217" s="5">
        <f>Q211</f>
        <v>-9.4135934963444634E-2</v>
      </c>
      <c r="K217" s="6"/>
      <c r="L217" s="6"/>
      <c r="M217" s="7"/>
      <c r="S217" s="4" t="s">
        <v>7</v>
      </c>
      <c r="T217" s="5">
        <f>W208 * (1 - W208) * (Y208 * X217 + Y210 * X218)</f>
        <v>3.5872744384257302E-9</v>
      </c>
      <c r="U217" s="6"/>
      <c r="V217" s="6"/>
      <c r="W217" s="7"/>
      <c r="X217" s="5">
        <f>AA208 * (1 - AA208) * AC208 *AB217</f>
        <v>5.5202198521180578E-4</v>
      </c>
      <c r="Y217" s="6"/>
      <c r="Z217" s="6"/>
      <c r="AA217" s="7"/>
      <c r="AB217" s="5">
        <f>Q211</f>
        <v>-9.4135934963444634E-2</v>
      </c>
      <c r="AC217" s="6"/>
      <c r="AD217" s="6"/>
      <c r="AE217" s="7"/>
      <c r="AF217"/>
    </row>
    <row r="218" spans="1:32" x14ac:dyDescent="0.3">
      <c r="B218" s="5">
        <f>E209 * (1 - E209) * (G209 * F217 + G211 * F218)</f>
        <v>0</v>
      </c>
      <c r="C218" s="6"/>
      <c r="D218" s="6"/>
      <c r="E218" s="7"/>
      <c r="F218" s="5">
        <f>J209 * (1 - J209) * K209 * J217</f>
        <v>0</v>
      </c>
      <c r="G218" s="6"/>
      <c r="H218" s="6"/>
      <c r="I218" s="7"/>
      <c r="T218" s="5">
        <f>W209 * (1 - W209) * (Y209 * X217 + Y211 * X218)</f>
        <v>0</v>
      </c>
      <c r="U218" s="6"/>
      <c r="V218" s="6"/>
      <c r="W218" s="7"/>
      <c r="X218" s="5">
        <f>AB209 * (1 - AB209) * AC209 * AB217</f>
        <v>0</v>
      </c>
      <c r="Y218" s="6"/>
      <c r="Z218" s="6"/>
      <c r="AA218" s="7"/>
      <c r="AF218"/>
    </row>
    <row r="219" spans="1:32" x14ac:dyDescent="0.3">
      <c r="AF219"/>
    </row>
    <row r="220" spans="1:32" x14ac:dyDescent="0.3">
      <c r="B220" s="8" t="s">
        <v>4</v>
      </c>
      <c r="C220" s="8"/>
      <c r="D220" s="8"/>
      <c r="E220" s="8"/>
      <c r="F220" s="8" t="s">
        <v>5</v>
      </c>
      <c r="G220" s="8"/>
      <c r="H220" s="8"/>
      <c r="I220" s="8"/>
      <c r="J220" s="8" t="s">
        <v>6</v>
      </c>
      <c r="K220" s="8"/>
      <c r="L220" s="8"/>
      <c r="M220" s="8"/>
      <c r="T220" s="8" t="s">
        <v>4</v>
      </c>
      <c r="U220" s="8"/>
      <c r="V220" s="8"/>
      <c r="W220" s="8"/>
      <c r="X220" s="8" t="s">
        <v>5</v>
      </c>
      <c r="Y220" s="8"/>
      <c r="Z220" s="8"/>
      <c r="AA220" s="8"/>
      <c r="AB220" s="8" t="s">
        <v>6</v>
      </c>
      <c r="AC220" s="8"/>
      <c r="AD220" s="8"/>
      <c r="AE220" s="8"/>
      <c r="AF220"/>
    </row>
    <row r="221" spans="1:32" x14ac:dyDescent="0.3"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O221" s="2" t="s">
        <v>0</v>
      </c>
      <c r="P221" s="2" t="s">
        <v>8</v>
      </c>
      <c r="Q221" s="2" t="s">
        <v>11</v>
      </c>
      <c r="R221" s="2" t="s">
        <v>10</v>
      </c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/>
    </row>
    <row r="222" spans="1:32" x14ac:dyDescent="0.3">
      <c r="B222" s="3" t="s">
        <v>0</v>
      </c>
      <c r="C222" s="3" t="s">
        <v>1</v>
      </c>
      <c r="D222" s="3" t="s">
        <v>2</v>
      </c>
      <c r="E222" s="3" t="s">
        <v>3</v>
      </c>
      <c r="F222" s="3" t="s">
        <v>0</v>
      </c>
      <c r="G222" s="3" t="s">
        <v>1</v>
      </c>
      <c r="H222" s="3" t="s">
        <v>2</v>
      </c>
      <c r="I222" s="3" t="s">
        <v>3</v>
      </c>
      <c r="J222" s="3" t="s">
        <v>0</v>
      </c>
      <c r="K222" s="3" t="s">
        <v>1</v>
      </c>
      <c r="L222" s="3" t="s">
        <v>2</v>
      </c>
      <c r="M222" s="3" t="s">
        <v>3</v>
      </c>
      <c r="O222" s="3">
        <v>0.1</v>
      </c>
      <c r="P222" s="3">
        <v>0.4</v>
      </c>
      <c r="Q222" s="3">
        <f>M1370</f>
        <v>0</v>
      </c>
      <c r="R222" s="3">
        <f>P222-Q222</f>
        <v>0.4</v>
      </c>
      <c r="T222" s="3" t="s">
        <v>0</v>
      </c>
      <c r="U222" s="3" t="s">
        <v>1</v>
      </c>
      <c r="V222" s="3" t="s">
        <v>2</v>
      </c>
      <c r="W222" s="3" t="s">
        <v>3</v>
      </c>
      <c r="X222" s="3" t="s">
        <v>0</v>
      </c>
      <c r="Y222" s="3" t="s">
        <v>1</v>
      </c>
      <c r="Z222" s="3" t="s">
        <v>2</v>
      </c>
      <c r="AA222" s="3" t="s">
        <v>3</v>
      </c>
      <c r="AB222" s="3" t="s">
        <v>0</v>
      </c>
      <c r="AC222" s="3" t="s">
        <v>1</v>
      </c>
      <c r="AD222" s="3" t="s">
        <v>2</v>
      </c>
      <c r="AE222" s="3" t="s">
        <v>3</v>
      </c>
      <c r="AF222"/>
    </row>
    <row r="223" spans="1:32" x14ac:dyDescent="0.3">
      <c r="B223" s="3">
        <f>$B$4</f>
        <v>0.1</v>
      </c>
      <c r="C223" s="3">
        <f>C208 + $O$7 * B208 * B217</f>
        <v>-3.126243775419141E-6</v>
      </c>
      <c r="D223" s="3">
        <f>B223*C223+B224*C224</f>
        <v>-8.31621478094751E-8</v>
      </c>
      <c r="E223" s="3">
        <f>1/(1+EXP(-D223))</f>
        <v>0.49999997920946315</v>
      </c>
      <c r="F223" s="3">
        <f>E223</f>
        <v>0.49999997920946315</v>
      </c>
      <c r="G223" s="3">
        <f>G208 + $O$7 * F208 * F217</f>
        <v>5.3594805135540739E-5</v>
      </c>
      <c r="H223" s="3">
        <f>F223*G223+F224*G224</f>
        <v>4.0597951083800743E-5</v>
      </c>
      <c r="I223" s="3">
        <f>1/(1+EXP(-H223))</f>
        <v>0.50001014948776956</v>
      </c>
      <c r="J223" s="3">
        <f>I223</f>
        <v>0.50001014948776956</v>
      </c>
      <c r="K223" s="3">
        <f>K208 + $O$7 * J208 * J217</f>
        <v>-2.8163203922673317E-2</v>
      </c>
      <c r="L223" s="3">
        <f>J223*K223+J224*K224</f>
        <v>-1.643528617751654E-2</v>
      </c>
      <c r="M223" s="3">
        <f>1/(1+EXP(-L223))</f>
        <v>0.49589127094222712</v>
      </c>
      <c r="O223" s="3">
        <v>0.2</v>
      </c>
      <c r="P223" s="3">
        <v>0.5</v>
      </c>
      <c r="Q223" s="3">
        <f>AE1370</f>
        <v>0</v>
      </c>
      <c r="R223" s="3">
        <f>P223-Q223</f>
        <v>0.5</v>
      </c>
      <c r="T223" s="3">
        <f>$O$19</f>
        <v>0.2</v>
      </c>
      <c r="U223" s="3">
        <f>C223</f>
        <v>-3.126243775419141E-6</v>
      </c>
      <c r="V223" s="3">
        <f>T223*U223+T224*U224</f>
        <v>-1.663242956189502E-7</v>
      </c>
      <c r="W223" s="3">
        <f>1/(1+EXP(-V223))</f>
        <v>0.49999995841892608</v>
      </c>
      <c r="X223" s="3">
        <f>W223</f>
        <v>0.49999995841892608</v>
      </c>
      <c r="Y223" s="3">
        <f>G223</f>
        <v>5.3594805135540739E-5</v>
      </c>
      <c r="Z223" s="3">
        <f>X223*Y223+X224*Y224</f>
        <v>4.0597949969535962E-5</v>
      </c>
      <c r="AA223" s="3">
        <f>1/(1+EXP(-Z223))</f>
        <v>0.50001014948749101</v>
      </c>
      <c r="AB223" s="3">
        <f>AA223</f>
        <v>0.50001014948749101</v>
      </c>
      <c r="AC223" s="3">
        <f>K223</f>
        <v>-2.8163203922673317E-2</v>
      </c>
      <c r="AD223" s="3">
        <f>AB223*AC223+AB224*AC224</f>
        <v>-1.6435286177508696E-2</v>
      </c>
      <c r="AE223" s="3">
        <f>1/(1+EXP(-AD223))</f>
        <v>0.49589127094222912</v>
      </c>
      <c r="AF223"/>
    </row>
    <row r="224" spans="1:32" x14ac:dyDescent="0.3">
      <c r="B224" s="3">
        <f>$B$5</f>
        <v>0.1</v>
      </c>
      <c r="C224" s="3">
        <f>C209 + $O$7 * B209 * B217</f>
        <v>2.2946222973243898E-6</v>
      </c>
      <c r="D224" s="3">
        <f>B223*C225+B224*C226</f>
        <v>0</v>
      </c>
      <c r="E224" s="3">
        <f>1/(1+EXP(-D224))</f>
        <v>0.5</v>
      </c>
      <c r="F224" s="3">
        <f>E224</f>
        <v>0.5</v>
      </c>
      <c r="G224" s="3">
        <f>G209 + $O$7 * F209 * F217</f>
        <v>2.7601099260590289E-5</v>
      </c>
      <c r="H224" s="3">
        <f>F223*G225+F224*G226</f>
        <v>0</v>
      </c>
      <c r="I224" s="3">
        <f>1/(1+EXP(-H224))</f>
        <v>0.5</v>
      </c>
      <c r="J224" s="3">
        <f>I224</f>
        <v>0.5</v>
      </c>
      <c r="K224" s="3">
        <f>K209 + $O$7* J209 * J217</f>
        <v>-4.7067967481722317E-3</v>
      </c>
      <c r="L224" s="3"/>
      <c r="M224" s="3"/>
      <c r="O224" s="3"/>
      <c r="P224" s="3"/>
      <c r="Q224" s="3"/>
      <c r="R224" s="3"/>
      <c r="T224" s="3">
        <f>$O$19</f>
        <v>0.2</v>
      </c>
      <c r="U224" s="3">
        <f t="shared" ref="U224:U226" si="58">C224</f>
        <v>2.2946222973243898E-6</v>
      </c>
      <c r="V224" s="3">
        <f>T223*U225+T224*U226</f>
        <v>0</v>
      </c>
      <c r="W224" s="3">
        <f>1/(1+EXP(-V224))</f>
        <v>0.5</v>
      </c>
      <c r="X224" s="3">
        <f>W224</f>
        <v>0.5</v>
      </c>
      <c r="Y224" s="3">
        <f t="shared" ref="Y224:Y226" si="59">G224</f>
        <v>2.7601099260590289E-5</v>
      </c>
      <c r="Z224" s="3">
        <f>X223*Y225+X224*Y226</f>
        <v>0</v>
      </c>
      <c r="AA224" s="3">
        <f>1/(1+EXP(-Z224))</f>
        <v>0.5</v>
      </c>
      <c r="AB224" s="3">
        <f>AA224</f>
        <v>0.5</v>
      </c>
      <c r="AC224" s="3">
        <f>K224</f>
        <v>-4.7067967481722317E-3</v>
      </c>
      <c r="AD224" s="3"/>
      <c r="AE224" s="3"/>
      <c r="AF224"/>
    </row>
    <row r="225" spans="1:32" x14ac:dyDescent="0.3">
      <c r="B225" s="3">
        <f>$B$6</f>
        <v>0.1</v>
      </c>
      <c r="C225" s="3">
        <f>C210 + $O$7 * B208 * B218</f>
        <v>0</v>
      </c>
      <c r="D225" s="3"/>
      <c r="E225" s="3"/>
      <c r="F225" s="3"/>
      <c r="G225" s="3">
        <f>G210 + $O$7 * F208 * F218</f>
        <v>0</v>
      </c>
      <c r="H225" s="3"/>
      <c r="I225" s="3"/>
      <c r="J225" s="3"/>
      <c r="K225" s="3"/>
      <c r="L225" s="3"/>
      <c r="M225" s="3"/>
      <c r="O225" s="3"/>
      <c r="P225" s="3"/>
      <c r="Q225" s="3"/>
      <c r="R225" s="3"/>
      <c r="T225" s="3">
        <f t="shared" ref="T225:T230" si="60">$O$19</f>
        <v>0.2</v>
      </c>
      <c r="U225" s="3">
        <f t="shared" si="58"/>
        <v>0</v>
      </c>
      <c r="V225" s="3"/>
      <c r="W225" s="3"/>
      <c r="X225" s="3"/>
      <c r="Y225" s="3">
        <f t="shared" si="59"/>
        <v>0</v>
      </c>
      <c r="Z225" s="3"/>
      <c r="AA225" s="3"/>
      <c r="AB225" s="3"/>
      <c r="AC225" s="3"/>
      <c r="AD225" s="3"/>
      <c r="AE225" s="3"/>
      <c r="AF225"/>
    </row>
    <row r="226" spans="1:32" x14ac:dyDescent="0.3">
      <c r="B226" s="3">
        <f>$B$7</f>
        <v>0.1</v>
      </c>
      <c r="C226" s="3">
        <f>C211 + $O$7 * B209* B218</f>
        <v>0</v>
      </c>
      <c r="D226" s="3"/>
      <c r="E226" s="3"/>
      <c r="F226" s="3"/>
      <c r="G226" s="3">
        <f>G211 + $O$7 * F209* F218</f>
        <v>0</v>
      </c>
      <c r="H226" s="3"/>
      <c r="I226" s="3"/>
      <c r="J226" s="3"/>
      <c r="K226" s="3"/>
      <c r="L226" s="3"/>
      <c r="M226" s="3"/>
      <c r="O226" s="3"/>
      <c r="P226" s="3"/>
      <c r="Q226" s="3"/>
      <c r="R226" s="3"/>
      <c r="T226" s="3">
        <f t="shared" si="60"/>
        <v>0.2</v>
      </c>
      <c r="U226" s="3">
        <f t="shared" si="58"/>
        <v>0</v>
      </c>
      <c r="V226" s="3"/>
      <c r="W226" s="3"/>
      <c r="X226" s="3"/>
      <c r="Y226" s="3">
        <f t="shared" si="59"/>
        <v>0</v>
      </c>
      <c r="Z226" s="3"/>
      <c r="AA226" s="3"/>
      <c r="AB226" s="3"/>
      <c r="AC226" s="3"/>
      <c r="AD226" s="3"/>
      <c r="AE226" s="3"/>
      <c r="AF226"/>
    </row>
    <row r="227" spans="1:32" x14ac:dyDescent="0.3">
      <c r="B227" s="3">
        <f>$B$8</f>
        <v>0.1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O227" s="3"/>
      <c r="P227" s="3"/>
      <c r="Q227" s="3"/>
      <c r="R227" s="3"/>
      <c r="T227" s="3">
        <f>$O$19</f>
        <v>0.2</v>
      </c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/>
    </row>
    <row r="228" spans="1:32" x14ac:dyDescent="0.3">
      <c r="B228" s="3">
        <f>$B$9</f>
        <v>0.1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O228" s="3"/>
      <c r="P228" s="3"/>
      <c r="Q228" s="3"/>
      <c r="R228" s="3"/>
      <c r="T228" s="3">
        <f t="shared" si="60"/>
        <v>0.2</v>
      </c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/>
    </row>
    <row r="229" spans="1:32" x14ac:dyDescent="0.3">
      <c r="B229" s="3">
        <f>$B$10</f>
        <v>0.1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O229" s="3"/>
      <c r="P229" s="3"/>
      <c r="Q229" s="3"/>
      <c r="R229" s="3"/>
      <c r="T229" s="3">
        <f t="shared" si="60"/>
        <v>0.2</v>
      </c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/>
    </row>
    <row r="230" spans="1:32" x14ac:dyDescent="0.3">
      <c r="B230" s="3">
        <f>$B$11</f>
        <v>0.1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O230" s="3"/>
      <c r="P230" s="3"/>
      <c r="Q230" s="3"/>
      <c r="R230" s="3"/>
      <c r="T230" s="3">
        <f t="shared" si="60"/>
        <v>0.2</v>
      </c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/>
    </row>
    <row r="231" spans="1:32" x14ac:dyDescent="0.3">
      <c r="AF231"/>
    </row>
    <row r="232" spans="1:32" x14ac:dyDescent="0.3">
      <c r="AF232"/>
    </row>
    <row r="233" spans="1:32" x14ac:dyDescent="0.3">
      <c r="T233" s="8" t="s">
        <v>4</v>
      </c>
      <c r="U233" s="8"/>
      <c r="V233" s="8"/>
      <c r="W233" s="8"/>
      <c r="X233" s="8" t="s">
        <v>5</v>
      </c>
      <c r="Y233" s="8"/>
      <c r="Z233" s="8"/>
      <c r="AA233" s="8"/>
      <c r="AB233" s="8" t="s">
        <v>6</v>
      </c>
      <c r="AC233" s="8"/>
      <c r="AD233" s="8"/>
      <c r="AE233" s="8"/>
      <c r="AF233"/>
    </row>
    <row r="234" spans="1:32" x14ac:dyDescent="0.3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/>
    </row>
    <row r="235" spans="1:32" x14ac:dyDescent="0.3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 s="3" t="s">
        <v>0</v>
      </c>
      <c r="U235" s="3" t="s">
        <v>1</v>
      </c>
      <c r="V235" s="3" t="s">
        <v>2</v>
      </c>
      <c r="W235" s="3" t="s">
        <v>3</v>
      </c>
      <c r="X235" s="3" t="s">
        <v>0</v>
      </c>
      <c r="Y235" s="3" t="s">
        <v>1</v>
      </c>
      <c r="Z235" s="3" t="s">
        <v>2</v>
      </c>
      <c r="AA235" s="3" t="s">
        <v>3</v>
      </c>
      <c r="AB235" s="3" t="s">
        <v>0</v>
      </c>
      <c r="AC235" s="3" t="s">
        <v>1</v>
      </c>
      <c r="AD235" s="3" t="s">
        <v>2</v>
      </c>
      <c r="AE235" s="3" t="s">
        <v>3</v>
      </c>
      <c r="AF235"/>
    </row>
    <row r="236" spans="1:32" x14ac:dyDescent="0.3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 s="3">
        <f>$O$19</f>
        <v>0.2</v>
      </c>
      <c r="U236" s="3">
        <f>U223 + $O$7 * T208 * T217</f>
        <v>-3.1261720299303724E-6</v>
      </c>
      <c r="V236" s="3">
        <f>T236*U236+T237*U237</f>
        <v>-1.662955974234428E-7</v>
      </c>
      <c r="W236" s="3">
        <f>1/(1+EXP(-V236))</f>
        <v>0.49999995842610068</v>
      </c>
      <c r="X236" s="3">
        <f>W236</f>
        <v>0.49999995842610068</v>
      </c>
      <c r="Y236" s="3">
        <f>Y208 + $O$7 * X208 * X217</f>
        <v>5.359480398775837E-5</v>
      </c>
      <c r="Z236" s="3">
        <f>X236*Y236+X237*Y237</f>
        <v>4.059794939602934E-5</v>
      </c>
      <c r="AA236" s="3">
        <f>1/(1+EXP(-Z236))</f>
        <v>0.50001014948734757</v>
      </c>
      <c r="AB236" s="3">
        <f>AA236</f>
        <v>0.50001014948734757</v>
      </c>
      <c r="AC236" s="3">
        <f>AC208 + $P$19 * AB208 * AB217</f>
        <v>-4.6990513262446479E-2</v>
      </c>
      <c r="AD236" s="3">
        <f>AB236*AC236+AB237*AC237</f>
        <v>-3.5262725431273637E-2</v>
      </c>
      <c r="AE236" s="3">
        <f>1/(1+EXP(-AD236))</f>
        <v>0.49118523202405806</v>
      </c>
      <c r="AF236"/>
    </row>
    <row r="237" spans="1:32" x14ac:dyDescent="0.3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 s="3">
        <f t="shared" ref="T237:T243" si="61">$O$19</f>
        <v>0.2</v>
      </c>
      <c r="U237" s="3">
        <f>U224 + $O$7 * T208 * T217</f>
        <v>2.2946940428131584E-6</v>
      </c>
      <c r="V237" s="3">
        <f>T236*U238+T237*U239</f>
        <v>0</v>
      </c>
      <c r="W237" s="3">
        <f>1/(1+EXP(-V237))</f>
        <v>0.5</v>
      </c>
      <c r="X237" s="3">
        <f>W237</f>
        <v>0.5</v>
      </c>
      <c r="Y237" s="3">
        <f>Y209 + $O$7 * X209 * X217</f>
        <v>2.7601099260590289E-5</v>
      </c>
      <c r="Z237" s="3">
        <f>X236*Y238+X237*Y239</f>
        <v>0</v>
      </c>
      <c r="AA237" s="3">
        <f>1/(1+EXP(-Z237))</f>
        <v>0.5</v>
      </c>
      <c r="AB237" s="3">
        <f>AA237</f>
        <v>0.5</v>
      </c>
      <c r="AC237" s="3">
        <f>AC209 + $P$19 * AB209 * AB217</f>
        <v>-2.3533983740861159E-2</v>
      </c>
      <c r="AD237" s="3"/>
      <c r="AE237" s="3"/>
      <c r="AF237"/>
    </row>
    <row r="238" spans="1:32" x14ac:dyDescent="0.3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 s="3">
        <f t="shared" si="61"/>
        <v>0.2</v>
      </c>
      <c r="U238" s="3">
        <f>U225 + $O$7 * T208 * T218</f>
        <v>0</v>
      </c>
      <c r="V238" s="3"/>
      <c r="W238" s="3"/>
      <c r="X238" s="3"/>
      <c r="Y238" s="3">
        <f>Y210 + $O$7 * X208 * X218</f>
        <v>0</v>
      </c>
      <c r="Z238" s="3"/>
      <c r="AA238" s="3"/>
      <c r="AB238" s="3"/>
      <c r="AC238" s="3"/>
      <c r="AD238" s="3"/>
      <c r="AE238" s="3"/>
      <c r="AF238"/>
    </row>
    <row r="239" spans="1:32" x14ac:dyDescent="0.3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 s="3">
        <f t="shared" si="61"/>
        <v>0.2</v>
      </c>
      <c r="U239" s="3">
        <f>U226 + $O$7 * T208 * T218</f>
        <v>0</v>
      </c>
      <c r="V239" s="3"/>
      <c r="W239" s="3"/>
      <c r="X239" s="3"/>
      <c r="Y239" s="3">
        <f>Y211 + $O$7 * X209* X218</f>
        <v>0</v>
      </c>
      <c r="Z239" s="3"/>
      <c r="AA239" s="3"/>
      <c r="AB239" s="3"/>
      <c r="AC239" s="3"/>
      <c r="AD239" s="3"/>
      <c r="AE239" s="3"/>
      <c r="AF239"/>
    </row>
    <row r="240" spans="1:32" x14ac:dyDescent="0.3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 s="3">
        <f t="shared" si="61"/>
        <v>0.2</v>
      </c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/>
    </row>
    <row r="241" spans="1:32" x14ac:dyDescent="0.3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 s="3">
        <f t="shared" si="61"/>
        <v>0.2</v>
      </c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/>
    </row>
    <row r="242" spans="1:32" x14ac:dyDescent="0.3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 s="3">
        <f t="shared" si="61"/>
        <v>0.2</v>
      </c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/>
    </row>
    <row r="243" spans="1:32" x14ac:dyDescent="0.3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 s="3">
        <f t="shared" si="61"/>
        <v>0.2</v>
      </c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/>
    </row>
    <row r="244" spans="1:32" x14ac:dyDescent="0.3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</row>
    <row r="245" spans="1:32" x14ac:dyDescent="0.3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</row>
    <row r="246" spans="1:32" x14ac:dyDescent="0.3">
      <c r="B246" s="8" t="s">
        <v>4</v>
      </c>
      <c r="C246" s="8"/>
      <c r="D246" s="8"/>
      <c r="E246" s="8"/>
      <c r="F246" s="8" t="s">
        <v>5</v>
      </c>
      <c r="G246" s="8"/>
      <c r="H246" s="8"/>
      <c r="I246" s="8"/>
      <c r="J246" s="8" t="s">
        <v>6</v>
      </c>
      <c r="K246" s="8"/>
      <c r="L246" s="8"/>
      <c r="M246" s="8"/>
      <c r="T246" s="8" t="s">
        <v>4</v>
      </c>
      <c r="U246" s="8"/>
      <c r="V246" s="8"/>
      <c r="W246" s="8"/>
      <c r="X246" s="8" t="s">
        <v>5</v>
      </c>
      <c r="Y246" s="8"/>
      <c r="Z246" s="8"/>
      <c r="AA246" s="8"/>
      <c r="AB246" s="8" t="s">
        <v>6</v>
      </c>
      <c r="AC246" s="8"/>
      <c r="AD246" s="8"/>
      <c r="AE246" s="8"/>
      <c r="AF246"/>
    </row>
    <row r="247" spans="1:32" x14ac:dyDescent="0.3"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/>
    </row>
    <row r="248" spans="1:32" x14ac:dyDescent="0.3">
      <c r="B248" s="3" t="s">
        <v>0</v>
      </c>
      <c r="C248" s="3" t="s">
        <v>1</v>
      </c>
      <c r="D248" s="3" t="s">
        <v>2</v>
      </c>
      <c r="E248" s="3" t="s">
        <v>3</v>
      </c>
      <c r="F248" s="3" t="s">
        <v>0</v>
      </c>
      <c r="G248" s="3" t="s">
        <v>1</v>
      </c>
      <c r="H248" s="3" t="s">
        <v>2</v>
      </c>
      <c r="I248" s="3" t="s">
        <v>3</v>
      </c>
      <c r="J248" s="3" t="s">
        <v>0</v>
      </c>
      <c r="K248" s="3" t="s">
        <v>1</v>
      </c>
      <c r="L248" s="3" t="s">
        <v>2</v>
      </c>
      <c r="M248" s="3" t="s">
        <v>3</v>
      </c>
      <c r="T248" s="3" t="s">
        <v>0</v>
      </c>
      <c r="U248" s="3" t="s">
        <v>1</v>
      </c>
      <c r="V248" s="3" t="s">
        <v>2</v>
      </c>
      <c r="W248" s="3" t="s">
        <v>3</v>
      </c>
      <c r="X248" s="3" t="s">
        <v>0</v>
      </c>
      <c r="Y248" s="3" t="s">
        <v>1</v>
      </c>
      <c r="Z248" s="3" t="s">
        <v>2</v>
      </c>
      <c r="AA248" s="3" t="s">
        <v>3</v>
      </c>
      <c r="AB248" s="3" t="s">
        <v>0</v>
      </c>
      <c r="AC248" s="3" t="s">
        <v>1</v>
      </c>
      <c r="AD248" s="3" t="s">
        <v>2</v>
      </c>
      <c r="AE248" s="3" t="s">
        <v>3</v>
      </c>
      <c r="AF248"/>
    </row>
    <row r="249" spans="1:32" x14ac:dyDescent="0.3">
      <c r="B249" s="3">
        <f>$O$18</f>
        <v>0.1</v>
      </c>
      <c r="C249" s="3">
        <f>U237</f>
        <v>2.2946940428131584E-6</v>
      </c>
      <c r="D249" s="3">
        <f>B249*C249+B250*C250</f>
        <v>2.2946940428131585E-7</v>
      </c>
      <c r="E249" s="3">
        <f>1/(1+EXP(-D249))</f>
        <v>0.50000005736735109</v>
      </c>
      <c r="F249" s="3">
        <f>E249</f>
        <v>0.50000005736735109</v>
      </c>
      <c r="G249" s="3">
        <f>Y237</f>
        <v>2.7601099260590289E-5</v>
      </c>
      <c r="H249" s="3">
        <f>F249*G249+F250*G250</f>
        <v>1.3800551213697096E-5</v>
      </c>
      <c r="I249" s="3">
        <f>1/(1+EXP(-H249))</f>
        <v>0.50000345013780334</v>
      </c>
      <c r="J249" s="3">
        <f>I249</f>
        <v>0.50000345013780334</v>
      </c>
      <c r="K249" s="3">
        <f>AC237</f>
        <v>-2.3533983740861159E-2</v>
      </c>
      <c r="L249" s="3">
        <f>J249*K249+J250*K250</f>
        <v>-1.1767073065917547E-2</v>
      </c>
      <c r="M249" s="3">
        <f>1/(1+EXP(-L249))</f>
        <v>0.49705826567713618</v>
      </c>
      <c r="T249" s="3">
        <f>$O$19</f>
        <v>0.2</v>
      </c>
      <c r="U249" s="3">
        <f>C249</f>
        <v>2.2946940428131584E-6</v>
      </c>
      <c r="V249" s="3">
        <f>T249*U249+T250*U250</f>
        <v>4.5893880856263171E-7</v>
      </c>
      <c r="W249" s="3">
        <f>1/(1+EXP(-V249))</f>
        <v>0.50000011473470218</v>
      </c>
      <c r="X249" s="3">
        <f>W249</f>
        <v>0.50000011473470218</v>
      </c>
      <c r="Y249" s="3">
        <f>G249</f>
        <v>2.7601099260590289E-5</v>
      </c>
      <c r="Z249" s="3">
        <f>X249*Y249+X250*Y250</f>
        <v>1.3800552797099049E-5</v>
      </c>
      <c r="AA249" s="3">
        <f>1/(1+EXP(-Z249))</f>
        <v>0.50000345013819925</v>
      </c>
      <c r="AB249" s="3">
        <f>AA249</f>
        <v>0.50000345013819925</v>
      </c>
      <c r="AC249" s="3">
        <f>K249</f>
        <v>-2.3533983740861159E-2</v>
      </c>
      <c r="AD249" s="3">
        <f>AB249*AC249+AB250*AC250</f>
        <v>-1.1767073065926864E-2</v>
      </c>
      <c r="AE249" s="3">
        <f>1/(1+EXP(-AD249))</f>
        <v>0.49705826567713385</v>
      </c>
      <c r="AF249"/>
    </row>
    <row r="250" spans="1:32" x14ac:dyDescent="0.3">
      <c r="B250" s="3">
        <f t="shared" ref="B250:B256" si="62">$O$18</f>
        <v>0.1</v>
      </c>
      <c r="C250" s="3">
        <f t="shared" ref="C250:C252" si="63">U238</f>
        <v>0</v>
      </c>
      <c r="D250" s="3">
        <f>B249*C251+B250*C252</f>
        <v>0</v>
      </c>
      <c r="E250" s="3">
        <f>1/(1+EXP(-D250))</f>
        <v>0.5</v>
      </c>
      <c r="F250" s="3">
        <f>E250</f>
        <v>0.5</v>
      </c>
      <c r="G250" s="3">
        <f t="shared" ref="G250:G252" si="64">Y238</f>
        <v>0</v>
      </c>
      <c r="H250" s="3">
        <f>F249*G251+F250*G252</f>
        <v>0</v>
      </c>
      <c r="I250" s="3">
        <f>1/(1+EXP(-H250))</f>
        <v>0.5</v>
      </c>
      <c r="J250" s="3">
        <f>I250</f>
        <v>0.5</v>
      </c>
      <c r="K250" s="3">
        <f>AC238</f>
        <v>0</v>
      </c>
      <c r="L250" s="3"/>
      <c r="M250" s="3"/>
      <c r="T250" s="3">
        <f>$O$19</f>
        <v>0.2</v>
      </c>
      <c r="U250" s="3">
        <f t="shared" ref="U250:U252" si="65">C250</f>
        <v>0</v>
      </c>
      <c r="V250" s="3">
        <f>T249*U251+T250*U252</f>
        <v>0</v>
      </c>
      <c r="W250" s="3">
        <f>1/(1+EXP(-V250))</f>
        <v>0.5</v>
      </c>
      <c r="X250" s="3">
        <f>W250</f>
        <v>0.5</v>
      </c>
      <c r="Y250" s="3">
        <f t="shared" ref="Y250:Y252" si="66">G250</f>
        <v>0</v>
      </c>
      <c r="Z250" s="3">
        <f>X249*Y251+X250*Y252</f>
        <v>0</v>
      </c>
      <c r="AA250" s="3">
        <f>1/(1+EXP(-Z250))</f>
        <v>0.5</v>
      </c>
      <c r="AB250" s="3">
        <f>AA250</f>
        <v>0.5</v>
      </c>
      <c r="AC250" s="3">
        <f>K250</f>
        <v>0</v>
      </c>
      <c r="AD250" s="3"/>
      <c r="AE250" s="3"/>
      <c r="AF250"/>
    </row>
    <row r="251" spans="1:32" x14ac:dyDescent="0.3">
      <c r="B251" s="3">
        <f t="shared" si="62"/>
        <v>0.1</v>
      </c>
      <c r="C251" s="3">
        <f t="shared" si="63"/>
        <v>0</v>
      </c>
      <c r="D251" s="3"/>
      <c r="E251" s="3"/>
      <c r="F251" s="3"/>
      <c r="G251" s="3">
        <f t="shared" si="64"/>
        <v>0</v>
      </c>
      <c r="H251" s="3"/>
      <c r="I251" s="3"/>
      <c r="J251" s="3"/>
      <c r="K251" s="3"/>
      <c r="L251" s="3"/>
      <c r="M251" s="3"/>
      <c r="O251" s="2" t="s">
        <v>9</v>
      </c>
      <c r="Q251" s="1">
        <f>$P$18-M249</f>
        <v>-9.7058265677136157E-2</v>
      </c>
      <c r="R251" s="1">
        <f>$P$19 - AE249</f>
        <v>2.9417343228661519E-3</v>
      </c>
      <c r="T251" s="3">
        <f t="shared" ref="T251:T256" si="67">$O$19</f>
        <v>0.2</v>
      </c>
      <c r="U251" s="3">
        <f t="shared" si="65"/>
        <v>0</v>
      </c>
      <c r="V251" s="3"/>
      <c r="W251" s="3"/>
      <c r="X251" s="3"/>
      <c r="Y251" s="3">
        <f t="shared" si="66"/>
        <v>0</v>
      </c>
      <c r="Z251" s="3"/>
      <c r="AA251" s="3"/>
      <c r="AB251" s="3"/>
      <c r="AC251" s="3"/>
      <c r="AD251" s="3"/>
      <c r="AE251" s="3"/>
      <c r="AF251"/>
    </row>
    <row r="252" spans="1:32" x14ac:dyDescent="0.3">
      <c r="B252" s="3">
        <f t="shared" si="62"/>
        <v>0.1</v>
      </c>
      <c r="C252" s="3">
        <f t="shared" si="63"/>
        <v>0</v>
      </c>
      <c r="D252" s="3"/>
      <c r="E252" s="3"/>
      <c r="F252" s="3"/>
      <c r="G252" s="3">
        <f t="shared" si="64"/>
        <v>0</v>
      </c>
      <c r="H252" s="3"/>
      <c r="I252" s="3"/>
      <c r="J252" s="3"/>
      <c r="K252" s="3"/>
      <c r="L252" s="3"/>
      <c r="M252" s="3"/>
      <c r="O252" s="3">
        <v>0.1</v>
      </c>
      <c r="Q252" s="1">
        <f>SUM(Q251,R251)</f>
        <v>-9.4116531354270005E-2</v>
      </c>
      <c r="T252" s="3">
        <f t="shared" si="67"/>
        <v>0.2</v>
      </c>
      <c r="U252" s="3">
        <f t="shared" si="65"/>
        <v>0</v>
      </c>
      <c r="V252" s="3"/>
      <c r="W252" s="3"/>
      <c r="X252" s="3"/>
      <c r="Y252" s="3">
        <f t="shared" si="66"/>
        <v>0</v>
      </c>
      <c r="Z252" s="3"/>
      <c r="AA252" s="3"/>
      <c r="AB252" s="3"/>
      <c r="AC252" s="3"/>
      <c r="AD252" s="3"/>
      <c r="AE252" s="3"/>
      <c r="AF252"/>
    </row>
    <row r="253" spans="1:32" x14ac:dyDescent="0.3">
      <c r="B253" s="3">
        <f t="shared" si="62"/>
        <v>0.1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T253" s="3">
        <f>$O$19</f>
        <v>0.2</v>
      </c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/>
    </row>
    <row r="254" spans="1:32" x14ac:dyDescent="0.3">
      <c r="B254" s="3">
        <f t="shared" si="62"/>
        <v>0.1</v>
      </c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T254" s="3">
        <f t="shared" si="67"/>
        <v>0.2</v>
      </c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/>
    </row>
    <row r="255" spans="1:32" x14ac:dyDescent="0.3">
      <c r="B255" s="3">
        <f t="shared" si="62"/>
        <v>0.1</v>
      </c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T255" s="3">
        <f t="shared" si="67"/>
        <v>0.2</v>
      </c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/>
    </row>
    <row r="256" spans="1:32" x14ac:dyDescent="0.3">
      <c r="B256" s="3">
        <f t="shared" si="62"/>
        <v>0.1</v>
      </c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T256" s="3">
        <f t="shared" si="67"/>
        <v>0.2</v>
      </c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/>
    </row>
    <row r="257" spans="1:32" x14ac:dyDescent="0.3">
      <c r="AF257"/>
    </row>
    <row r="258" spans="1:32" x14ac:dyDescent="0.3">
      <c r="A258" s="4" t="s">
        <v>7</v>
      </c>
      <c r="B258" s="5">
        <f>E249 * (1 - E249) * (G249 * F258 + G251 * F259)</f>
        <v>3.820918359021989E-9</v>
      </c>
      <c r="C258" s="6"/>
      <c r="D258" s="6"/>
      <c r="E258" s="7"/>
      <c r="F258" s="5">
        <f>I249 * (1 - I249) * K249 *J258</f>
        <v>5.5373422963304452E-4</v>
      </c>
      <c r="G258" s="6"/>
      <c r="H258" s="6"/>
      <c r="I258" s="7"/>
      <c r="J258" s="5">
        <f>Q252</f>
        <v>-9.4116531354270005E-2</v>
      </c>
      <c r="K258" s="6"/>
      <c r="L258" s="6"/>
      <c r="M258" s="7"/>
      <c r="S258" s="4" t="s">
        <v>7</v>
      </c>
      <c r="T258" s="5">
        <f>W249 * (1 - W249) * (Y249 * X258 + Y251 * X259)</f>
        <v>3.8209183590218385E-9</v>
      </c>
      <c r="U258" s="6"/>
      <c r="V258" s="6"/>
      <c r="W258" s="7"/>
      <c r="X258" s="5">
        <f>AA249 * (1 - AA249) * AC249 *AB258</f>
        <v>5.5373422963304452E-4</v>
      </c>
      <c r="Y258" s="6"/>
      <c r="Z258" s="6"/>
      <c r="AA258" s="7"/>
      <c r="AB258" s="5">
        <f>Q252</f>
        <v>-9.4116531354270005E-2</v>
      </c>
      <c r="AC258" s="6"/>
      <c r="AD258" s="6"/>
      <c r="AE258" s="7"/>
      <c r="AF258"/>
    </row>
    <row r="259" spans="1:32" x14ac:dyDescent="0.3">
      <c r="B259" s="5">
        <f>E250 * (1 - E250) * (G250 * F258 + G252 * F259)</f>
        <v>0</v>
      </c>
      <c r="C259" s="6"/>
      <c r="D259" s="6"/>
      <c r="E259" s="7"/>
      <c r="F259" s="5">
        <f>J250 * (1 - J250) * K250 * J258</f>
        <v>0</v>
      </c>
      <c r="G259" s="6"/>
      <c r="H259" s="6"/>
      <c r="I259" s="7"/>
      <c r="T259" s="5">
        <f>W250 * (1 - W250) * (Y250 * X258 + Y252 * X259)</f>
        <v>0</v>
      </c>
      <c r="U259" s="6"/>
      <c r="V259" s="6"/>
      <c r="W259" s="7"/>
      <c r="X259" s="5">
        <f>AB250 * (1 - AB250) * AC250 * AB258</f>
        <v>0</v>
      </c>
      <c r="Y259" s="6"/>
      <c r="Z259" s="6"/>
      <c r="AA259" s="7"/>
      <c r="AF259"/>
    </row>
    <row r="260" spans="1:32" x14ac:dyDescent="0.3">
      <c r="AF260"/>
    </row>
    <row r="261" spans="1:32" x14ac:dyDescent="0.3">
      <c r="B261" s="8" t="s">
        <v>4</v>
      </c>
      <c r="C261" s="8"/>
      <c r="D261" s="8"/>
      <c r="E261" s="8"/>
      <c r="F261" s="8" t="s">
        <v>5</v>
      </c>
      <c r="G261" s="8"/>
      <c r="H261" s="8"/>
      <c r="I261" s="8"/>
      <c r="J261" s="8" t="s">
        <v>6</v>
      </c>
      <c r="K261" s="8"/>
      <c r="L261" s="8"/>
      <c r="M261" s="8"/>
      <c r="T261" s="8" t="s">
        <v>4</v>
      </c>
      <c r="U261" s="8"/>
      <c r="V261" s="8"/>
      <c r="W261" s="8"/>
      <c r="X261" s="8" t="s">
        <v>5</v>
      </c>
      <c r="Y261" s="8"/>
      <c r="Z261" s="8"/>
      <c r="AA261" s="8"/>
      <c r="AB261" s="8" t="s">
        <v>6</v>
      </c>
      <c r="AC261" s="8"/>
      <c r="AD261" s="8"/>
      <c r="AE261" s="8"/>
      <c r="AF261"/>
    </row>
    <row r="262" spans="1:32" x14ac:dyDescent="0.3"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O262" s="2" t="s">
        <v>0</v>
      </c>
      <c r="P262" s="2" t="s">
        <v>8</v>
      </c>
      <c r="Q262" s="2" t="s">
        <v>11</v>
      </c>
      <c r="R262" s="2" t="s">
        <v>10</v>
      </c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/>
    </row>
    <row r="263" spans="1:32" x14ac:dyDescent="0.3">
      <c r="B263" s="3" t="s">
        <v>0</v>
      </c>
      <c r="C263" s="3" t="s">
        <v>1</v>
      </c>
      <c r="D263" s="3" t="s">
        <v>2</v>
      </c>
      <c r="E263" s="3" t="s">
        <v>3</v>
      </c>
      <c r="F263" s="3" t="s">
        <v>0</v>
      </c>
      <c r="G263" s="3" t="s">
        <v>1</v>
      </c>
      <c r="H263" s="3" t="s">
        <v>2</v>
      </c>
      <c r="I263" s="3" t="s">
        <v>3</v>
      </c>
      <c r="J263" s="3" t="s">
        <v>0</v>
      </c>
      <c r="K263" s="3" t="s">
        <v>1</v>
      </c>
      <c r="L263" s="3" t="s">
        <v>2</v>
      </c>
      <c r="M263" s="3" t="s">
        <v>3</v>
      </c>
      <c r="O263" s="3">
        <v>0.1</v>
      </c>
      <c r="P263" s="3">
        <v>0.4</v>
      </c>
      <c r="Q263" s="3">
        <f>M1411</f>
        <v>0</v>
      </c>
      <c r="R263" s="3">
        <f>P263-Q263</f>
        <v>0.4</v>
      </c>
      <c r="T263" s="3" t="s">
        <v>0</v>
      </c>
      <c r="U263" s="3" t="s">
        <v>1</v>
      </c>
      <c r="V263" s="3" t="s">
        <v>2</v>
      </c>
      <c r="W263" s="3" t="s">
        <v>3</v>
      </c>
      <c r="X263" s="3" t="s">
        <v>0</v>
      </c>
      <c r="Y263" s="3" t="s">
        <v>1</v>
      </c>
      <c r="Z263" s="3" t="s">
        <v>2</v>
      </c>
      <c r="AA263" s="3" t="s">
        <v>3</v>
      </c>
      <c r="AB263" s="3" t="s">
        <v>0</v>
      </c>
      <c r="AC263" s="3" t="s">
        <v>1</v>
      </c>
      <c r="AD263" s="3" t="s">
        <v>2</v>
      </c>
      <c r="AE263" s="3" t="s">
        <v>3</v>
      </c>
      <c r="AF263"/>
    </row>
    <row r="264" spans="1:32" x14ac:dyDescent="0.3">
      <c r="B264" s="3">
        <f>$B$4</f>
        <v>0.1</v>
      </c>
      <c r="C264" s="3">
        <f>C249 + $O$7 * B249 * B258</f>
        <v>2.2947322519967486E-6</v>
      </c>
      <c r="D264" s="3">
        <f>B264*C264+B265*C265</f>
        <v>2.2947704611803387E-7</v>
      </c>
      <c r="E264" s="3">
        <f>1/(1+EXP(-D264))</f>
        <v>0.50000005736926156</v>
      </c>
      <c r="F264" s="3">
        <f>E264</f>
        <v>0.50000005736926156</v>
      </c>
      <c r="G264" s="3">
        <f>G249 + $O$7 * F249 * F258</f>
        <v>5.5287813918869112E-5</v>
      </c>
      <c r="H264" s="3">
        <f>F264*G264+F265*G265</f>
        <v>4.1487265872081727E-5</v>
      </c>
      <c r="I264" s="3">
        <f>1/(1+EXP(-H264))</f>
        <v>0.50001037181646657</v>
      </c>
      <c r="J264" s="3">
        <f>I264</f>
        <v>0.50001037181646657</v>
      </c>
      <c r="K264" s="3">
        <f>K249 + $O$7 * J249 * J258</f>
        <v>-2.8239842780074933E-2</v>
      </c>
      <c r="L264" s="3">
        <f>J264*K264+J265*K265</f>
        <v>-1.6473127572360576E-2</v>
      </c>
      <c r="M264" s="3">
        <f>1/(1+EXP(-L264))</f>
        <v>0.49588181123381336</v>
      </c>
      <c r="O264" s="3">
        <v>0.2</v>
      </c>
      <c r="P264" s="3">
        <v>0.5</v>
      </c>
      <c r="Q264" s="3">
        <f>AE1411</f>
        <v>0</v>
      </c>
      <c r="R264" s="3">
        <f>P264-Q264</f>
        <v>0.5</v>
      </c>
      <c r="T264" s="3">
        <f>$O$19</f>
        <v>0.2</v>
      </c>
      <c r="U264" s="3">
        <f>C264</f>
        <v>2.2947322519967486E-6</v>
      </c>
      <c r="V264" s="3">
        <f>T264*U264+T265*U265</f>
        <v>4.5895409223606775E-7</v>
      </c>
      <c r="W264" s="3">
        <f>1/(1+EXP(-V264))</f>
        <v>0.50000011473852302</v>
      </c>
      <c r="X264" s="3">
        <f>W264</f>
        <v>0.50000011473852302</v>
      </c>
      <c r="Y264" s="3">
        <f>G264</f>
        <v>5.5287813918869112E-5</v>
      </c>
      <c r="Z264" s="3">
        <f>X264*Y264+X265*Y265</f>
        <v>4.1487269043902782E-5</v>
      </c>
      <c r="AA264" s="3">
        <f>1/(1+EXP(-Z264))</f>
        <v>0.50001037181725949</v>
      </c>
      <c r="AB264" s="3">
        <f>AA264</f>
        <v>0.50001037181725949</v>
      </c>
      <c r="AC264" s="3">
        <f>K264</f>
        <v>-2.8239842780074933E-2</v>
      </c>
      <c r="AD264" s="3">
        <f>AB264*AC264+AB265*AC265</f>
        <v>-1.6473127572382968E-2</v>
      </c>
      <c r="AE264" s="3">
        <f>1/(1+EXP(-AD264))</f>
        <v>0.4958818112338077</v>
      </c>
      <c r="AF264"/>
    </row>
    <row r="265" spans="1:32" x14ac:dyDescent="0.3">
      <c r="B265" s="3">
        <f>$B$5</f>
        <v>0.1</v>
      </c>
      <c r="C265" s="3">
        <f>C250 + $O$7 * B250 * B258</f>
        <v>3.8209183590219898E-11</v>
      </c>
      <c r="D265" s="3">
        <f>B264*C266+B265*C267</f>
        <v>0</v>
      </c>
      <c r="E265" s="3">
        <f>1/(1+EXP(-D265))</f>
        <v>0.5</v>
      </c>
      <c r="F265" s="3">
        <f>E265</f>
        <v>0.5</v>
      </c>
      <c r="G265" s="3">
        <f>G250 + $O$7 * F250 * F258</f>
        <v>2.7686711481652228E-5</v>
      </c>
      <c r="H265" s="3">
        <f>F264*G266+F265*G267</f>
        <v>0</v>
      </c>
      <c r="I265" s="3">
        <f>1/(1+EXP(-H265))</f>
        <v>0.5</v>
      </c>
      <c r="J265" s="3">
        <f>I265</f>
        <v>0.5</v>
      </c>
      <c r="K265" s="3">
        <f>K250 + $O$7* J250 * J258</f>
        <v>-4.705826567713501E-3</v>
      </c>
      <c r="L265" s="3"/>
      <c r="M265" s="3"/>
      <c r="O265" s="3"/>
      <c r="P265" s="3"/>
      <c r="Q265" s="3"/>
      <c r="R265" s="3"/>
      <c r="T265" s="3">
        <f>$O$19</f>
        <v>0.2</v>
      </c>
      <c r="U265" s="3">
        <f t="shared" ref="U265:U267" si="68">C265</f>
        <v>3.8209183590219898E-11</v>
      </c>
      <c r="V265" s="3">
        <f>T264*U266+T265*U267</f>
        <v>0</v>
      </c>
      <c r="W265" s="3">
        <f>1/(1+EXP(-V265))</f>
        <v>0.5</v>
      </c>
      <c r="X265" s="3">
        <f>W265</f>
        <v>0.5</v>
      </c>
      <c r="Y265" s="3">
        <f t="shared" ref="Y265:Y267" si="69">G265</f>
        <v>2.7686711481652228E-5</v>
      </c>
      <c r="Z265" s="3">
        <f>X264*Y266+X265*Y267</f>
        <v>0</v>
      </c>
      <c r="AA265" s="3">
        <f>1/(1+EXP(-Z265))</f>
        <v>0.5</v>
      </c>
      <c r="AB265" s="3">
        <f>AA265</f>
        <v>0.5</v>
      </c>
      <c r="AC265" s="3">
        <f>K265</f>
        <v>-4.705826567713501E-3</v>
      </c>
      <c r="AD265" s="3"/>
      <c r="AE265" s="3"/>
      <c r="AF265"/>
    </row>
    <row r="266" spans="1:32" x14ac:dyDescent="0.3">
      <c r="B266" s="3">
        <f>$B$6</f>
        <v>0.1</v>
      </c>
      <c r="C266" s="3">
        <f>C251 + $O$7 * B249 * B259</f>
        <v>0</v>
      </c>
      <c r="D266" s="3"/>
      <c r="E266" s="3"/>
      <c r="F266" s="3"/>
      <c r="G266" s="3">
        <f>G251 + $O$7 * F249 * F259</f>
        <v>0</v>
      </c>
      <c r="H266" s="3"/>
      <c r="I266" s="3"/>
      <c r="J266" s="3"/>
      <c r="K266" s="3"/>
      <c r="L266" s="3"/>
      <c r="M266" s="3"/>
      <c r="O266" s="3"/>
      <c r="P266" s="3"/>
      <c r="Q266" s="3"/>
      <c r="R266" s="3"/>
      <c r="T266" s="3">
        <f t="shared" ref="T266:T271" si="70">$O$19</f>
        <v>0.2</v>
      </c>
      <c r="U266" s="3">
        <f t="shared" si="68"/>
        <v>0</v>
      </c>
      <c r="V266" s="3"/>
      <c r="W266" s="3"/>
      <c r="X266" s="3"/>
      <c r="Y266" s="3">
        <f t="shared" si="69"/>
        <v>0</v>
      </c>
      <c r="Z266" s="3"/>
      <c r="AA266" s="3"/>
      <c r="AB266" s="3"/>
      <c r="AC266" s="3"/>
      <c r="AD266" s="3"/>
      <c r="AE266" s="3"/>
      <c r="AF266"/>
    </row>
    <row r="267" spans="1:32" x14ac:dyDescent="0.3">
      <c r="B267" s="3">
        <f>$B$7</f>
        <v>0.1</v>
      </c>
      <c r="C267" s="3">
        <f>C252 + $O$7 * B250* B259</f>
        <v>0</v>
      </c>
      <c r="D267" s="3"/>
      <c r="E267" s="3"/>
      <c r="F267" s="3"/>
      <c r="G267" s="3">
        <f>G252 + $O$7 * F250* F259</f>
        <v>0</v>
      </c>
      <c r="H267" s="3"/>
      <c r="I267" s="3"/>
      <c r="J267" s="3"/>
      <c r="K267" s="3"/>
      <c r="L267" s="3"/>
      <c r="M267" s="3"/>
      <c r="O267" s="3"/>
      <c r="P267" s="3"/>
      <c r="Q267" s="3"/>
      <c r="R267" s="3"/>
      <c r="T267" s="3">
        <f t="shared" si="70"/>
        <v>0.2</v>
      </c>
      <c r="U267" s="3">
        <f t="shared" si="68"/>
        <v>0</v>
      </c>
      <c r="V267" s="3"/>
      <c r="W267" s="3"/>
      <c r="X267" s="3"/>
      <c r="Y267" s="3">
        <f t="shared" si="69"/>
        <v>0</v>
      </c>
      <c r="Z267" s="3"/>
      <c r="AA267" s="3"/>
      <c r="AB267" s="3"/>
      <c r="AC267" s="3"/>
      <c r="AD267" s="3"/>
      <c r="AE267" s="3"/>
      <c r="AF267"/>
    </row>
    <row r="268" spans="1:32" x14ac:dyDescent="0.3">
      <c r="B268" s="3">
        <f>$B$8</f>
        <v>0.1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O268" s="3"/>
      <c r="P268" s="3"/>
      <c r="Q268" s="3"/>
      <c r="R268" s="3"/>
      <c r="T268" s="3">
        <f>$O$19</f>
        <v>0.2</v>
      </c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/>
    </row>
    <row r="269" spans="1:32" x14ac:dyDescent="0.3">
      <c r="B269" s="3">
        <f>$B$9</f>
        <v>0.1</v>
      </c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O269" s="3"/>
      <c r="P269" s="3"/>
      <c r="Q269" s="3"/>
      <c r="R269" s="3"/>
      <c r="T269" s="3">
        <f t="shared" si="70"/>
        <v>0.2</v>
      </c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/>
    </row>
    <row r="270" spans="1:32" x14ac:dyDescent="0.3">
      <c r="B270" s="3">
        <f>$B$10</f>
        <v>0.1</v>
      </c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O270" s="3"/>
      <c r="P270" s="3"/>
      <c r="Q270" s="3"/>
      <c r="R270" s="3"/>
      <c r="T270" s="3">
        <f t="shared" si="70"/>
        <v>0.2</v>
      </c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/>
    </row>
    <row r="271" spans="1:32" x14ac:dyDescent="0.3">
      <c r="B271" s="3">
        <f>$B$11</f>
        <v>0.1</v>
      </c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O271" s="3"/>
      <c r="P271" s="3"/>
      <c r="Q271" s="3"/>
      <c r="R271" s="3"/>
      <c r="T271" s="3">
        <f t="shared" si="70"/>
        <v>0.2</v>
      </c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/>
    </row>
    <row r="272" spans="1:32" x14ac:dyDescent="0.3">
      <c r="AF272"/>
    </row>
    <row r="273" spans="1:32" x14ac:dyDescent="0.3">
      <c r="AF273"/>
    </row>
    <row r="274" spans="1:32" x14ac:dyDescent="0.3">
      <c r="T274" s="8" t="s">
        <v>4</v>
      </c>
      <c r="U274" s="8"/>
      <c r="V274" s="8"/>
      <c r="W274" s="8"/>
      <c r="X274" s="8" t="s">
        <v>5</v>
      </c>
      <c r="Y274" s="8"/>
      <c r="Z274" s="8"/>
      <c r="AA274" s="8"/>
      <c r="AB274" s="8" t="s">
        <v>6</v>
      </c>
      <c r="AC274" s="8"/>
      <c r="AD274" s="8"/>
      <c r="AE274" s="8"/>
      <c r="AF274"/>
    </row>
    <row r="275" spans="1:32" x14ac:dyDescent="0.3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/>
    </row>
    <row r="276" spans="1:32" x14ac:dyDescent="0.3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 s="3" t="s">
        <v>0</v>
      </c>
      <c r="U276" s="3" t="s">
        <v>1</v>
      </c>
      <c r="V276" s="3" t="s">
        <v>2</v>
      </c>
      <c r="W276" s="3" t="s">
        <v>3</v>
      </c>
      <c r="X276" s="3" t="s">
        <v>0</v>
      </c>
      <c r="Y276" s="3" t="s">
        <v>1</v>
      </c>
      <c r="Z276" s="3" t="s">
        <v>2</v>
      </c>
      <c r="AA276" s="3" t="s">
        <v>3</v>
      </c>
      <c r="AB276" s="3" t="s">
        <v>0</v>
      </c>
      <c r="AC276" s="3" t="s">
        <v>1</v>
      </c>
      <c r="AD276" s="3" t="s">
        <v>2</v>
      </c>
      <c r="AE276" s="3" t="s">
        <v>3</v>
      </c>
      <c r="AF276"/>
    </row>
    <row r="277" spans="1:32" x14ac:dyDescent="0.3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 s="3">
        <f>$O$19</f>
        <v>0.2</v>
      </c>
      <c r="U277" s="3">
        <f>U264 + $O$7 * T249 * T258</f>
        <v>2.2948086703639289E-6</v>
      </c>
      <c r="V277" s="3">
        <f>T277*U277+T278*U278</f>
        <v>4.5898465958293994E-7</v>
      </c>
      <c r="W277" s="3">
        <f>1/(1+EXP(-V277))</f>
        <v>0.5000001147461649</v>
      </c>
      <c r="X277" s="3">
        <f>W277</f>
        <v>0.5000001147461649</v>
      </c>
      <c r="Y277" s="3">
        <f>Y249 + $O$7 * X249 * X258</f>
        <v>5.5287817095495703E-5</v>
      </c>
      <c r="Z277" s="3">
        <f>X277*Y277+X278*Y278</f>
        <v>4.1487270632638943E-5</v>
      </c>
      <c r="AA277" s="3">
        <f>1/(1+EXP(-Z277))</f>
        <v>0.50001037181765673</v>
      </c>
      <c r="AB277" s="3">
        <f>AA277</f>
        <v>0.50001037181765673</v>
      </c>
      <c r="AC277" s="3">
        <f>AC249 + $P$19 * AB249 * AB258</f>
        <v>-4.7063278936948665E-2</v>
      </c>
      <c r="AD277" s="3">
        <f>AB277*AC277+AB278*AC278</f>
        <v>-3.5296694019505546E-2</v>
      </c>
      <c r="AE277" s="3">
        <f>1/(1+EXP(-AD277))</f>
        <v>0.49117674251890686</v>
      </c>
      <c r="AF277"/>
    </row>
    <row r="278" spans="1:32" x14ac:dyDescent="0.3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 s="3">
        <f t="shared" ref="T278:T284" si="71">$O$19</f>
        <v>0.2</v>
      </c>
      <c r="U278" s="3">
        <f>U265 + $O$7 * T249 * T258</f>
        <v>1.1462755077065669E-10</v>
      </c>
      <c r="V278" s="3">
        <f>T277*U279+T278*U280</f>
        <v>0</v>
      </c>
      <c r="W278" s="3">
        <f>1/(1+EXP(-V278))</f>
        <v>0.5</v>
      </c>
      <c r="X278" s="3">
        <f>W278</f>
        <v>0.5</v>
      </c>
      <c r="Y278" s="3">
        <f>Y250 + $O$7 * X250 * X258</f>
        <v>2.7686711481652228E-5</v>
      </c>
      <c r="Z278" s="3">
        <f>X277*Y279+X278*Y280</f>
        <v>0</v>
      </c>
      <c r="AA278" s="3">
        <f>1/(1+EXP(-Z278))</f>
        <v>0.5</v>
      </c>
      <c r="AB278" s="3">
        <f>AA278</f>
        <v>0.5</v>
      </c>
      <c r="AC278" s="3">
        <f>AC250 + $P$19 * AB250 * AB258</f>
        <v>-2.3529132838567501E-2</v>
      </c>
      <c r="AD278" s="3"/>
      <c r="AE278" s="3"/>
      <c r="AF278"/>
    </row>
    <row r="279" spans="1:32" x14ac:dyDescent="0.3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 s="3">
        <f t="shared" si="71"/>
        <v>0.2</v>
      </c>
      <c r="U279" s="3">
        <f>U266 + $O$7 * T249 * T259</f>
        <v>0</v>
      </c>
      <c r="V279" s="3"/>
      <c r="W279" s="3"/>
      <c r="X279" s="3"/>
      <c r="Y279" s="3">
        <f>Y251 + $O$7 * X249 * X259</f>
        <v>0</v>
      </c>
      <c r="Z279" s="3"/>
      <c r="AA279" s="3"/>
      <c r="AB279" s="3"/>
      <c r="AC279" s="3"/>
      <c r="AD279" s="3"/>
      <c r="AE279" s="3"/>
      <c r="AF279"/>
    </row>
    <row r="280" spans="1:32" x14ac:dyDescent="0.3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 s="3">
        <f t="shared" si="71"/>
        <v>0.2</v>
      </c>
      <c r="U280" s="3">
        <f>U267 + $O$7 * T249 * T259</f>
        <v>0</v>
      </c>
      <c r="V280" s="3"/>
      <c r="W280" s="3"/>
      <c r="X280" s="3"/>
      <c r="Y280" s="3">
        <f>Y252 + $O$7 * X250* X259</f>
        <v>0</v>
      </c>
      <c r="Z280" s="3"/>
      <c r="AA280" s="3"/>
      <c r="AB280" s="3"/>
      <c r="AC280" s="3"/>
      <c r="AD280" s="3"/>
      <c r="AE280" s="3"/>
      <c r="AF280"/>
    </row>
    <row r="281" spans="1:32" x14ac:dyDescent="0.3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 s="3">
        <f t="shared" si="71"/>
        <v>0.2</v>
      </c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/>
    </row>
    <row r="282" spans="1:32" x14ac:dyDescent="0.3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 s="3">
        <f t="shared" si="71"/>
        <v>0.2</v>
      </c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/>
    </row>
    <row r="283" spans="1:32" x14ac:dyDescent="0.3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 s="3">
        <f t="shared" si="71"/>
        <v>0.2</v>
      </c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/>
    </row>
    <row r="284" spans="1:32" x14ac:dyDescent="0.3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 s="3">
        <f t="shared" si="71"/>
        <v>0.2</v>
      </c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/>
    </row>
    <row r="285" spans="1:32" x14ac:dyDescent="0.3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</row>
    <row r="286" spans="1:32" x14ac:dyDescent="0.3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</row>
    <row r="287" spans="1:32" x14ac:dyDescent="0.3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</row>
    <row r="288" spans="1:32" x14ac:dyDescent="0.3">
      <c r="B288" s="8" t="s">
        <v>4</v>
      </c>
      <c r="C288" s="8"/>
      <c r="D288" s="8"/>
      <c r="E288" s="8"/>
      <c r="F288" s="8" t="s">
        <v>5</v>
      </c>
      <c r="G288" s="8"/>
      <c r="H288" s="8"/>
      <c r="I288" s="8"/>
      <c r="J288" s="8" t="s">
        <v>6</v>
      </c>
      <c r="K288" s="8"/>
      <c r="L288" s="8"/>
      <c r="M288" s="8"/>
      <c r="T288" s="8" t="s">
        <v>4</v>
      </c>
      <c r="U288" s="8"/>
      <c r="V288" s="8"/>
      <c r="W288" s="8"/>
      <c r="X288" s="8" t="s">
        <v>5</v>
      </c>
      <c r="Y288" s="8"/>
      <c r="Z288" s="8"/>
      <c r="AA288" s="8"/>
      <c r="AB288" s="8" t="s">
        <v>6</v>
      </c>
      <c r="AC288" s="8"/>
      <c r="AD288" s="8"/>
      <c r="AE288" s="8"/>
      <c r="AF288"/>
    </row>
    <row r="289" spans="1:32" x14ac:dyDescent="0.3"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/>
    </row>
    <row r="290" spans="1:32" x14ac:dyDescent="0.3">
      <c r="B290" s="3" t="s">
        <v>0</v>
      </c>
      <c r="C290" s="3" t="s">
        <v>1</v>
      </c>
      <c r="D290" s="3" t="s">
        <v>2</v>
      </c>
      <c r="E290" s="3" t="s">
        <v>3</v>
      </c>
      <c r="F290" s="3" t="s">
        <v>0</v>
      </c>
      <c r="G290" s="3" t="s">
        <v>1</v>
      </c>
      <c r="H290" s="3" t="s">
        <v>2</v>
      </c>
      <c r="I290" s="3" t="s">
        <v>3</v>
      </c>
      <c r="J290" s="3" t="s">
        <v>0</v>
      </c>
      <c r="K290" s="3" t="s">
        <v>1</v>
      </c>
      <c r="L290" s="3" t="s">
        <v>2</v>
      </c>
      <c r="M290" s="3" t="s">
        <v>3</v>
      </c>
      <c r="T290" s="3" t="s">
        <v>0</v>
      </c>
      <c r="U290" s="3" t="s">
        <v>1</v>
      </c>
      <c r="V290" s="3" t="s">
        <v>2</v>
      </c>
      <c r="W290" s="3" t="s">
        <v>3</v>
      </c>
      <c r="X290" s="3" t="s">
        <v>0</v>
      </c>
      <c r="Y290" s="3" t="s">
        <v>1</v>
      </c>
      <c r="Z290" s="3" t="s">
        <v>2</v>
      </c>
      <c r="AA290" s="3" t="s">
        <v>3</v>
      </c>
      <c r="AB290" s="3" t="s">
        <v>0</v>
      </c>
      <c r="AC290" s="3" t="s">
        <v>1</v>
      </c>
      <c r="AD290" s="3" t="s">
        <v>2</v>
      </c>
      <c r="AE290" s="3" t="s">
        <v>3</v>
      </c>
      <c r="AF290"/>
    </row>
    <row r="291" spans="1:32" x14ac:dyDescent="0.3">
      <c r="B291" s="3">
        <f>$O$18</f>
        <v>0.1</v>
      </c>
      <c r="C291" s="3">
        <f>U279</f>
        <v>0</v>
      </c>
      <c r="D291" s="3">
        <f>B291*C291+B292*C292</f>
        <v>0</v>
      </c>
      <c r="E291" s="3">
        <f>1/(1+EXP(-D291))</f>
        <v>0.5</v>
      </c>
      <c r="F291" s="3">
        <f>E291</f>
        <v>0.5</v>
      </c>
      <c r="G291" s="3">
        <f>Y279</f>
        <v>0</v>
      </c>
      <c r="H291" s="3">
        <f>F291*G291+F292*G292</f>
        <v>0</v>
      </c>
      <c r="I291" s="3">
        <f>1/(1+EXP(-H291))</f>
        <v>0.5</v>
      </c>
      <c r="J291" s="3">
        <f>I291</f>
        <v>0.5</v>
      </c>
      <c r="K291" s="3">
        <f>AC279</f>
        <v>0</v>
      </c>
      <c r="L291" s="3">
        <f>J291*K291+J292*K292</f>
        <v>0</v>
      </c>
      <c r="M291" s="3">
        <f>1/(1+EXP(-L291))</f>
        <v>0.5</v>
      </c>
      <c r="T291" s="3">
        <f>$O$19</f>
        <v>0.2</v>
      </c>
      <c r="U291" s="3">
        <f>C291</f>
        <v>0</v>
      </c>
      <c r="V291" s="3">
        <f>T291*U291+T292*U292</f>
        <v>0</v>
      </c>
      <c r="W291" s="3">
        <f>1/(1+EXP(-V291))</f>
        <v>0.5</v>
      </c>
      <c r="X291" s="3">
        <f>W291</f>
        <v>0.5</v>
      </c>
      <c r="Y291" s="3">
        <f>G291</f>
        <v>0</v>
      </c>
      <c r="Z291" s="3">
        <f>X291*Y291+X292*Y292</f>
        <v>0</v>
      </c>
      <c r="AA291" s="3">
        <f>1/(1+EXP(-Z291))</f>
        <v>0.5</v>
      </c>
      <c r="AB291" s="3">
        <f>AA291</f>
        <v>0.5</v>
      </c>
      <c r="AC291" s="3">
        <f>K291</f>
        <v>0</v>
      </c>
      <c r="AD291" s="3">
        <f>AB291*AC291+AB292*AC292</f>
        <v>0</v>
      </c>
      <c r="AE291" s="3">
        <f>1/(1+EXP(-AD291))</f>
        <v>0.5</v>
      </c>
      <c r="AF291"/>
    </row>
    <row r="292" spans="1:32" x14ac:dyDescent="0.3">
      <c r="B292" s="3">
        <f t="shared" ref="B292:B298" si="72">$O$18</f>
        <v>0.1</v>
      </c>
      <c r="C292" s="3">
        <f t="shared" ref="C292:C294" si="73">U280</f>
        <v>0</v>
      </c>
      <c r="D292" s="3">
        <f>B291*C293+B292*C294</f>
        <v>0</v>
      </c>
      <c r="E292" s="3">
        <f>1/(1+EXP(-D292))</f>
        <v>0.5</v>
      </c>
      <c r="F292" s="3">
        <f>E292</f>
        <v>0.5</v>
      </c>
      <c r="G292" s="3">
        <f t="shared" ref="G292:G294" si="74">Y280</f>
        <v>0</v>
      </c>
      <c r="H292" s="3">
        <f>F291*G293+F292*G294</f>
        <v>0</v>
      </c>
      <c r="I292" s="3">
        <f>1/(1+EXP(-H292))</f>
        <v>0.5</v>
      </c>
      <c r="J292" s="3">
        <f>I292</f>
        <v>0.5</v>
      </c>
      <c r="K292" s="3">
        <f>AC280</f>
        <v>0</v>
      </c>
      <c r="L292" s="3"/>
      <c r="M292" s="3"/>
      <c r="T292" s="3">
        <f>$O$19</f>
        <v>0.2</v>
      </c>
      <c r="U292" s="3">
        <f t="shared" ref="U292:U294" si="75">C292</f>
        <v>0</v>
      </c>
      <c r="V292" s="3">
        <f>T291*U293+T292*U294</f>
        <v>0</v>
      </c>
      <c r="W292" s="3">
        <f>1/(1+EXP(-V292))</f>
        <v>0.5</v>
      </c>
      <c r="X292" s="3">
        <f>W292</f>
        <v>0.5</v>
      </c>
      <c r="Y292" s="3">
        <f t="shared" ref="Y292:Y294" si="76">G292</f>
        <v>0</v>
      </c>
      <c r="Z292" s="3">
        <f>X291*Y293+X292*Y294</f>
        <v>0</v>
      </c>
      <c r="AA292" s="3">
        <f>1/(1+EXP(-Z292))</f>
        <v>0.5</v>
      </c>
      <c r="AB292" s="3">
        <f>AA292</f>
        <v>0.5</v>
      </c>
      <c r="AC292" s="3">
        <f>K292</f>
        <v>0</v>
      </c>
      <c r="AD292" s="3"/>
      <c r="AE292" s="3"/>
      <c r="AF292"/>
    </row>
    <row r="293" spans="1:32" x14ac:dyDescent="0.3">
      <c r="B293" s="3">
        <f t="shared" si="72"/>
        <v>0.1</v>
      </c>
      <c r="C293" s="3">
        <f t="shared" si="73"/>
        <v>0</v>
      </c>
      <c r="D293" s="3"/>
      <c r="E293" s="3"/>
      <c r="F293" s="3"/>
      <c r="G293" s="3">
        <f t="shared" si="74"/>
        <v>0</v>
      </c>
      <c r="H293" s="3"/>
      <c r="I293" s="3"/>
      <c r="J293" s="3"/>
      <c r="K293" s="3"/>
      <c r="L293" s="3"/>
      <c r="M293" s="3"/>
      <c r="O293" s="2" t="s">
        <v>9</v>
      </c>
      <c r="Q293" s="1">
        <f>$P$18-M291</f>
        <v>-9.9999999999999978E-2</v>
      </c>
      <c r="R293" s="1">
        <f>$P$19 - AE291</f>
        <v>0</v>
      </c>
      <c r="T293" s="3">
        <f t="shared" ref="T293:T298" si="77">$O$19</f>
        <v>0.2</v>
      </c>
      <c r="U293" s="3">
        <f t="shared" si="75"/>
        <v>0</v>
      </c>
      <c r="V293" s="3"/>
      <c r="W293" s="3"/>
      <c r="X293" s="3"/>
      <c r="Y293" s="3">
        <f t="shared" si="76"/>
        <v>0</v>
      </c>
      <c r="Z293" s="3"/>
      <c r="AA293" s="3"/>
      <c r="AB293" s="3"/>
      <c r="AC293" s="3"/>
      <c r="AD293" s="3"/>
      <c r="AE293" s="3"/>
      <c r="AF293"/>
    </row>
    <row r="294" spans="1:32" x14ac:dyDescent="0.3">
      <c r="B294" s="3">
        <f t="shared" si="72"/>
        <v>0.1</v>
      </c>
      <c r="C294" s="3">
        <f t="shared" si="73"/>
        <v>0</v>
      </c>
      <c r="D294" s="3"/>
      <c r="E294" s="3"/>
      <c r="F294" s="3"/>
      <c r="G294" s="3">
        <f t="shared" si="74"/>
        <v>0</v>
      </c>
      <c r="H294" s="3"/>
      <c r="I294" s="3"/>
      <c r="J294" s="3"/>
      <c r="K294" s="3"/>
      <c r="L294" s="3"/>
      <c r="M294" s="3"/>
      <c r="O294" s="3">
        <v>0.1</v>
      </c>
      <c r="Q294" s="1">
        <f>SUM(Q293,R293)</f>
        <v>-9.9999999999999978E-2</v>
      </c>
      <c r="T294" s="3">
        <f t="shared" si="77"/>
        <v>0.2</v>
      </c>
      <c r="U294" s="3">
        <f t="shared" si="75"/>
        <v>0</v>
      </c>
      <c r="V294" s="3"/>
      <c r="W294" s="3"/>
      <c r="X294" s="3"/>
      <c r="Y294" s="3">
        <f t="shared" si="76"/>
        <v>0</v>
      </c>
      <c r="Z294" s="3"/>
      <c r="AA294" s="3"/>
      <c r="AB294" s="3"/>
      <c r="AC294" s="3"/>
      <c r="AD294" s="3"/>
      <c r="AE294" s="3"/>
      <c r="AF294"/>
    </row>
    <row r="295" spans="1:32" x14ac:dyDescent="0.3">
      <c r="B295" s="3">
        <f t="shared" si="72"/>
        <v>0.1</v>
      </c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T295" s="3">
        <f>$O$19</f>
        <v>0.2</v>
      </c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/>
    </row>
    <row r="296" spans="1:32" x14ac:dyDescent="0.3">
      <c r="B296" s="3">
        <f t="shared" si="72"/>
        <v>0.1</v>
      </c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T296" s="3">
        <f t="shared" si="77"/>
        <v>0.2</v>
      </c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/>
    </row>
    <row r="297" spans="1:32" x14ac:dyDescent="0.3">
      <c r="B297" s="3">
        <f t="shared" si="72"/>
        <v>0.1</v>
      </c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T297" s="3">
        <f t="shared" si="77"/>
        <v>0.2</v>
      </c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/>
    </row>
    <row r="298" spans="1:32" x14ac:dyDescent="0.3">
      <c r="B298" s="3">
        <f t="shared" si="72"/>
        <v>0.1</v>
      </c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T298" s="3">
        <f t="shared" si="77"/>
        <v>0.2</v>
      </c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/>
    </row>
    <row r="299" spans="1:32" x14ac:dyDescent="0.3">
      <c r="AF299"/>
    </row>
    <row r="300" spans="1:32" x14ac:dyDescent="0.3">
      <c r="A300" s="4" t="s">
        <v>7</v>
      </c>
      <c r="B300" s="5">
        <f>E291 * (1 - E291) * (G291 * F300 + G293 * F301)</f>
        <v>0</v>
      </c>
      <c r="C300" s="6"/>
      <c r="D300" s="6"/>
      <c r="E300" s="7"/>
      <c r="F300" s="5">
        <f>I291 * (1 - I291) * K291 *J300</f>
        <v>0</v>
      </c>
      <c r="G300" s="6"/>
      <c r="H300" s="6"/>
      <c r="I300" s="7"/>
      <c r="J300" s="5">
        <f>Q294</f>
        <v>-9.9999999999999978E-2</v>
      </c>
      <c r="K300" s="6"/>
      <c r="L300" s="6"/>
      <c r="M300" s="7"/>
      <c r="S300" s="4" t="s">
        <v>7</v>
      </c>
      <c r="T300" s="5">
        <f>W291 * (1 - W291) * (Y291 * X300 + Y293 * X301)</f>
        <v>0</v>
      </c>
      <c r="U300" s="6"/>
      <c r="V300" s="6"/>
      <c r="W300" s="7"/>
      <c r="X300" s="5">
        <f>AA291 * (1 - AA291) * AC291 *AB300</f>
        <v>0</v>
      </c>
      <c r="Y300" s="6"/>
      <c r="Z300" s="6"/>
      <c r="AA300" s="7"/>
      <c r="AB300" s="5">
        <f>Q294</f>
        <v>-9.9999999999999978E-2</v>
      </c>
      <c r="AC300" s="6"/>
      <c r="AD300" s="6"/>
      <c r="AE300" s="7"/>
      <c r="AF300"/>
    </row>
    <row r="301" spans="1:32" x14ac:dyDescent="0.3">
      <c r="B301" s="5">
        <f>E292 * (1 - E292) * (G292 * F300 + G294 * F301)</f>
        <v>0</v>
      </c>
      <c r="C301" s="6"/>
      <c r="D301" s="6"/>
      <c r="E301" s="7"/>
      <c r="F301" s="5">
        <f>J292 * (1 - J292) * K292 * J300</f>
        <v>0</v>
      </c>
      <c r="G301" s="6"/>
      <c r="H301" s="6"/>
      <c r="I301" s="7"/>
      <c r="T301" s="5">
        <f>W292 * (1 - W292) * (Y292 * X300 + Y294 * X301)</f>
        <v>0</v>
      </c>
      <c r="U301" s="6"/>
      <c r="V301" s="6"/>
      <c r="W301" s="7"/>
      <c r="X301" s="5">
        <f>AB292 * (1 - AB292) * AC292 * AB300</f>
        <v>0</v>
      </c>
      <c r="Y301" s="6"/>
      <c r="Z301" s="6"/>
      <c r="AA301" s="7"/>
      <c r="AF301"/>
    </row>
    <row r="302" spans="1:32" x14ac:dyDescent="0.3">
      <c r="AF302"/>
    </row>
    <row r="303" spans="1:32" x14ac:dyDescent="0.3">
      <c r="B303" s="8" t="s">
        <v>4</v>
      </c>
      <c r="C303" s="8"/>
      <c r="D303" s="8"/>
      <c r="E303" s="8"/>
      <c r="F303" s="8" t="s">
        <v>5</v>
      </c>
      <c r="G303" s="8"/>
      <c r="H303" s="8"/>
      <c r="I303" s="8"/>
      <c r="J303" s="8" t="s">
        <v>6</v>
      </c>
      <c r="K303" s="8"/>
      <c r="L303" s="8"/>
      <c r="M303" s="8"/>
      <c r="T303" s="8" t="s">
        <v>4</v>
      </c>
      <c r="U303" s="8"/>
      <c r="V303" s="8"/>
      <c r="W303" s="8"/>
      <c r="X303" s="8" t="s">
        <v>5</v>
      </c>
      <c r="Y303" s="8"/>
      <c r="Z303" s="8"/>
      <c r="AA303" s="8"/>
      <c r="AB303" s="8" t="s">
        <v>6</v>
      </c>
      <c r="AC303" s="8"/>
      <c r="AD303" s="8"/>
      <c r="AE303" s="8"/>
      <c r="AF303"/>
    </row>
    <row r="304" spans="1:32" x14ac:dyDescent="0.3"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O304" s="2" t="s">
        <v>0</v>
      </c>
      <c r="P304" s="2" t="s">
        <v>8</v>
      </c>
      <c r="Q304" s="2" t="s">
        <v>11</v>
      </c>
      <c r="R304" s="2" t="s">
        <v>10</v>
      </c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/>
    </row>
    <row r="305" spans="1:32" x14ac:dyDescent="0.3">
      <c r="B305" s="3" t="s">
        <v>0</v>
      </c>
      <c r="C305" s="3" t="s">
        <v>1</v>
      </c>
      <c r="D305" s="3" t="s">
        <v>2</v>
      </c>
      <c r="E305" s="3" t="s">
        <v>3</v>
      </c>
      <c r="F305" s="3" t="s">
        <v>0</v>
      </c>
      <c r="G305" s="3" t="s">
        <v>1</v>
      </c>
      <c r="H305" s="3" t="s">
        <v>2</v>
      </c>
      <c r="I305" s="3" t="s">
        <v>3</v>
      </c>
      <c r="J305" s="3" t="s">
        <v>0</v>
      </c>
      <c r="K305" s="3" t="s">
        <v>1</v>
      </c>
      <c r="L305" s="3" t="s">
        <v>2</v>
      </c>
      <c r="M305" s="3" t="s">
        <v>3</v>
      </c>
      <c r="O305" s="3">
        <v>0.1</v>
      </c>
      <c r="P305" s="3">
        <v>0.4</v>
      </c>
      <c r="Q305" s="3">
        <f>M1453</f>
        <v>0</v>
      </c>
      <c r="R305" s="3">
        <f>P305-Q305</f>
        <v>0.4</v>
      </c>
      <c r="T305" s="3" t="s">
        <v>0</v>
      </c>
      <c r="U305" s="3" t="s">
        <v>1</v>
      </c>
      <c r="V305" s="3" t="s">
        <v>2</v>
      </c>
      <c r="W305" s="3" t="s">
        <v>3</v>
      </c>
      <c r="X305" s="3" t="s">
        <v>0</v>
      </c>
      <c r="Y305" s="3" t="s">
        <v>1</v>
      </c>
      <c r="Z305" s="3" t="s">
        <v>2</v>
      </c>
      <c r="AA305" s="3" t="s">
        <v>3</v>
      </c>
      <c r="AB305" s="3" t="s">
        <v>0</v>
      </c>
      <c r="AC305" s="3" t="s">
        <v>1</v>
      </c>
      <c r="AD305" s="3" t="s">
        <v>2</v>
      </c>
      <c r="AE305" s="3" t="s">
        <v>3</v>
      </c>
      <c r="AF305"/>
    </row>
    <row r="306" spans="1:32" x14ac:dyDescent="0.3">
      <c r="B306" s="3">
        <f>$B$4</f>
        <v>0.1</v>
      </c>
      <c r="C306" s="3">
        <f>C291 + $O$7 * B291 * B300</f>
        <v>0</v>
      </c>
      <c r="D306" s="3">
        <f>B306*C306+B307*C307</f>
        <v>0</v>
      </c>
      <c r="E306" s="3">
        <f>1/(1+EXP(-D306))</f>
        <v>0.5</v>
      </c>
      <c r="F306" s="3">
        <f>E306</f>
        <v>0.5</v>
      </c>
      <c r="G306" s="3">
        <f>G291 + $O$7 * F291 * F300</f>
        <v>0</v>
      </c>
      <c r="H306" s="3">
        <f>F306*G306+F307*G307</f>
        <v>0</v>
      </c>
      <c r="I306" s="3">
        <f>1/(1+EXP(-H306))</f>
        <v>0.5</v>
      </c>
      <c r="J306" s="3">
        <f>I306</f>
        <v>0.5</v>
      </c>
      <c r="K306" s="3">
        <f>K291 + $O$7 * J291 * J300</f>
        <v>-4.9999999999999992E-3</v>
      </c>
      <c r="L306" s="3">
        <f>J306*K306+J307*K307</f>
        <v>-4.9999999999999992E-3</v>
      </c>
      <c r="M306" s="3">
        <f>1/(1+EXP(-L306))</f>
        <v>0.49875000260416025</v>
      </c>
      <c r="O306" s="3">
        <v>0.2</v>
      </c>
      <c r="P306" s="3">
        <v>0.5</v>
      </c>
      <c r="Q306" s="3">
        <f>AE1453</f>
        <v>0</v>
      </c>
      <c r="R306" s="3">
        <f>P306-Q306</f>
        <v>0.5</v>
      </c>
      <c r="T306" s="3">
        <f>$O$19</f>
        <v>0.2</v>
      </c>
      <c r="U306" s="3">
        <f>C306</f>
        <v>0</v>
      </c>
      <c r="V306" s="3">
        <f>T306*U306+T307*U307</f>
        <v>0</v>
      </c>
      <c r="W306" s="3">
        <f>1/(1+EXP(-V306))</f>
        <v>0.5</v>
      </c>
      <c r="X306" s="3">
        <f>W306</f>
        <v>0.5</v>
      </c>
      <c r="Y306" s="3">
        <f>G306</f>
        <v>0</v>
      </c>
      <c r="Z306" s="3">
        <f>X306*Y306+X307*Y307</f>
        <v>0</v>
      </c>
      <c r="AA306" s="3">
        <f>1/(1+EXP(-Z306))</f>
        <v>0.5</v>
      </c>
      <c r="AB306" s="3">
        <f>AA306</f>
        <v>0.5</v>
      </c>
      <c r="AC306" s="3">
        <f>K306</f>
        <v>-4.9999999999999992E-3</v>
      </c>
      <c r="AD306" s="3">
        <f>AB306*AC306+AB307*AC307</f>
        <v>-4.9999999999999992E-3</v>
      </c>
      <c r="AE306" s="3">
        <f>1/(1+EXP(-AD306))</f>
        <v>0.49875000260416025</v>
      </c>
      <c r="AF306"/>
    </row>
    <row r="307" spans="1:32" x14ac:dyDescent="0.3">
      <c r="B307" s="3">
        <f>$B$5</f>
        <v>0.1</v>
      </c>
      <c r="C307" s="3">
        <f>C292 + $O$7 * B292 * B300</f>
        <v>0</v>
      </c>
      <c r="D307" s="3">
        <f>B306*C308+B307*C309</f>
        <v>0</v>
      </c>
      <c r="E307" s="3">
        <f>1/(1+EXP(-D307))</f>
        <v>0.5</v>
      </c>
      <c r="F307" s="3">
        <f>E307</f>
        <v>0.5</v>
      </c>
      <c r="G307" s="3">
        <f>G292 + $O$7 * F292 * F300</f>
        <v>0</v>
      </c>
      <c r="H307" s="3">
        <f>F306*G308+F307*G309</f>
        <v>0</v>
      </c>
      <c r="I307" s="3">
        <f>1/(1+EXP(-H307))</f>
        <v>0.5</v>
      </c>
      <c r="J307" s="3">
        <f>I307</f>
        <v>0.5</v>
      </c>
      <c r="K307" s="3">
        <f>K292 + $O$7* J292 * J300</f>
        <v>-4.9999999999999992E-3</v>
      </c>
      <c r="L307" s="3"/>
      <c r="M307" s="3"/>
      <c r="O307" s="3"/>
      <c r="P307" s="3"/>
      <c r="Q307" s="3"/>
      <c r="R307" s="3"/>
      <c r="T307" s="3">
        <f>$O$19</f>
        <v>0.2</v>
      </c>
      <c r="U307" s="3">
        <f t="shared" ref="U307:U309" si="78">C307</f>
        <v>0</v>
      </c>
      <c r="V307" s="3">
        <f>T306*U308+T307*U309</f>
        <v>0</v>
      </c>
      <c r="W307" s="3">
        <f>1/(1+EXP(-V307))</f>
        <v>0.5</v>
      </c>
      <c r="X307" s="3">
        <f>W307</f>
        <v>0.5</v>
      </c>
      <c r="Y307" s="3">
        <f t="shared" ref="Y307:Y309" si="79">G307</f>
        <v>0</v>
      </c>
      <c r="Z307" s="3">
        <f>X306*Y308+X307*Y309</f>
        <v>0</v>
      </c>
      <c r="AA307" s="3">
        <f>1/(1+EXP(-Z307))</f>
        <v>0.5</v>
      </c>
      <c r="AB307" s="3">
        <f>AA307</f>
        <v>0.5</v>
      </c>
      <c r="AC307" s="3">
        <f>K307</f>
        <v>-4.9999999999999992E-3</v>
      </c>
      <c r="AD307" s="3"/>
      <c r="AE307" s="3"/>
      <c r="AF307"/>
    </row>
    <row r="308" spans="1:32" x14ac:dyDescent="0.3">
      <c r="B308" s="3">
        <f>$B$6</f>
        <v>0.1</v>
      </c>
      <c r="C308" s="3">
        <f>C293 + $O$7 * B291 * B301</f>
        <v>0</v>
      </c>
      <c r="D308" s="3"/>
      <c r="E308" s="3"/>
      <c r="F308" s="3"/>
      <c r="G308" s="3">
        <f>G293 + $O$7 * F291 * F301</f>
        <v>0</v>
      </c>
      <c r="H308" s="3"/>
      <c r="I308" s="3"/>
      <c r="J308" s="3"/>
      <c r="K308" s="3"/>
      <c r="L308" s="3"/>
      <c r="M308" s="3"/>
      <c r="O308" s="3"/>
      <c r="P308" s="3"/>
      <c r="Q308" s="3"/>
      <c r="R308" s="3"/>
      <c r="T308" s="3">
        <f t="shared" ref="T308:T313" si="80">$O$19</f>
        <v>0.2</v>
      </c>
      <c r="U308" s="3">
        <f t="shared" si="78"/>
        <v>0</v>
      </c>
      <c r="V308" s="3"/>
      <c r="W308" s="3"/>
      <c r="X308" s="3"/>
      <c r="Y308" s="3">
        <f t="shared" si="79"/>
        <v>0</v>
      </c>
      <c r="Z308" s="3"/>
      <c r="AA308" s="3"/>
      <c r="AB308" s="3"/>
      <c r="AC308" s="3"/>
      <c r="AD308" s="3"/>
      <c r="AE308" s="3"/>
      <c r="AF308"/>
    </row>
    <row r="309" spans="1:32" x14ac:dyDescent="0.3">
      <c r="B309" s="3">
        <f>$B$7</f>
        <v>0.1</v>
      </c>
      <c r="C309" s="3">
        <f>C294 + $O$7 * B292* B301</f>
        <v>0</v>
      </c>
      <c r="D309" s="3"/>
      <c r="E309" s="3"/>
      <c r="F309" s="3"/>
      <c r="G309" s="3">
        <f>G294 + $O$7 * F292* F301</f>
        <v>0</v>
      </c>
      <c r="H309" s="3"/>
      <c r="I309" s="3"/>
      <c r="J309" s="3"/>
      <c r="K309" s="3"/>
      <c r="L309" s="3"/>
      <c r="M309" s="3"/>
      <c r="O309" s="3"/>
      <c r="P309" s="3"/>
      <c r="Q309" s="3"/>
      <c r="R309" s="3"/>
      <c r="T309" s="3">
        <f t="shared" si="80"/>
        <v>0.2</v>
      </c>
      <c r="U309" s="3">
        <f t="shared" si="78"/>
        <v>0</v>
      </c>
      <c r="V309" s="3"/>
      <c r="W309" s="3"/>
      <c r="X309" s="3"/>
      <c r="Y309" s="3">
        <f t="shared" si="79"/>
        <v>0</v>
      </c>
      <c r="Z309" s="3"/>
      <c r="AA309" s="3"/>
      <c r="AB309" s="3"/>
      <c r="AC309" s="3"/>
      <c r="AD309" s="3"/>
      <c r="AE309" s="3"/>
      <c r="AF309"/>
    </row>
    <row r="310" spans="1:32" x14ac:dyDescent="0.3">
      <c r="B310" s="3">
        <f>$B$8</f>
        <v>0.1</v>
      </c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O310" s="3"/>
      <c r="P310" s="3"/>
      <c r="Q310" s="3"/>
      <c r="R310" s="3"/>
      <c r="T310" s="3">
        <f>$O$19</f>
        <v>0.2</v>
      </c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/>
    </row>
    <row r="311" spans="1:32" x14ac:dyDescent="0.3">
      <c r="B311" s="3">
        <f>$B$9</f>
        <v>0.1</v>
      </c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O311" s="3"/>
      <c r="P311" s="3"/>
      <c r="Q311" s="3"/>
      <c r="R311" s="3"/>
      <c r="T311" s="3">
        <f t="shared" si="80"/>
        <v>0.2</v>
      </c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/>
    </row>
    <row r="312" spans="1:32" x14ac:dyDescent="0.3">
      <c r="B312" s="3">
        <f>$B$10</f>
        <v>0.1</v>
      </c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O312" s="3"/>
      <c r="P312" s="3"/>
      <c r="Q312" s="3"/>
      <c r="R312" s="3"/>
      <c r="T312" s="3">
        <f t="shared" si="80"/>
        <v>0.2</v>
      </c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/>
    </row>
    <row r="313" spans="1:32" x14ac:dyDescent="0.3">
      <c r="B313" s="3">
        <f>$B$11</f>
        <v>0.1</v>
      </c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O313" s="3"/>
      <c r="P313" s="3"/>
      <c r="Q313" s="3"/>
      <c r="R313" s="3"/>
      <c r="T313" s="3">
        <f t="shared" si="80"/>
        <v>0.2</v>
      </c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/>
    </row>
    <row r="314" spans="1:32" x14ac:dyDescent="0.3">
      <c r="AF314"/>
    </row>
    <row r="315" spans="1:32" x14ac:dyDescent="0.3">
      <c r="AF315"/>
    </row>
    <row r="316" spans="1:32" x14ac:dyDescent="0.3">
      <c r="T316" s="8" t="s">
        <v>4</v>
      </c>
      <c r="U316" s="8"/>
      <c r="V316" s="8"/>
      <c r="W316" s="8"/>
      <c r="X316" s="8" t="s">
        <v>5</v>
      </c>
      <c r="Y316" s="8"/>
      <c r="Z316" s="8"/>
      <c r="AA316" s="8"/>
      <c r="AB316" s="8" t="s">
        <v>6</v>
      </c>
      <c r="AC316" s="8"/>
      <c r="AD316" s="8"/>
      <c r="AE316" s="8"/>
      <c r="AF316"/>
    </row>
    <row r="317" spans="1:32" x14ac:dyDescent="0.3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/>
    </row>
    <row r="318" spans="1:32" x14ac:dyDescent="0.3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 s="3" t="s">
        <v>0</v>
      </c>
      <c r="U318" s="3" t="s">
        <v>1</v>
      </c>
      <c r="V318" s="3" t="s">
        <v>2</v>
      </c>
      <c r="W318" s="3" t="s">
        <v>3</v>
      </c>
      <c r="X318" s="3" t="s">
        <v>0</v>
      </c>
      <c r="Y318" s="3" t="s">
        <v>1</v>
      </c>
      <c r="Z318" s="3" t="s">
        <v>2</v>
      </c>
      <c r="AA318" s="3" t="s">
        <v>3</v>
      </c>
      <c r="AB318" s="3" t="s">
        <v>0</v>
      </c>
      <c r="AC318" s="3" t="s">
        <v>1</v>
      </c>
      <c r="AD318" s="3" t="s">
        <v>2</v>
      </c>
      <c r="AE318" s="3" t="s">
        <v>3</v>
      </c>
      <c r="AF318"/>
    </row>
    <row r="319" spans="1:32" x14ac:dyDescent="0.3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 s="3">
        <f>$O$19</f>
        <v>0.2</v>
      </c>
      <c r="U319" s="3">
        <f>U306 + $O$7 * T291 * T300</f>
        <v>0</v>
      </c>
      <c r="V319" s="3">
        <f>T319*U319+T320*U320</f>
        <v>0</v>
      </c>
      <c r="W319" s="3">
        <f>1/(1+EXP(-V319))</f>
        <v>0.5</v>
      </c>
      <c r="X319" s="3">
        <f>W319</f>
        <v>0.5</v>
      </c>
      <c r="Y319" s="3">
        <f>Y291 + $O$7 * X291 * X300</f>
        <v>0</v>
      </c>
      <c r="Z319" s="3">
        <f>X319*Y319+X320*Y320</f>
        <v>0</v>
      </c>
      <c r="AA319" s="3">
        <f>1/(1+EXP(-Z319))</f>
        <v>0.5</v>
      </c>
      <c r="AB319" s="3">
        <f>AA319</f>
        <v>0.5</v>
      </c>
      <c r="AC319" s="3">
        <f>AC291 + $P$19 * AB291 * AB300</f>
        <v>-2.4999999999999994E-2</v>
      </c>
      <c r="AD319" s="3">
        <f>AB319*AC319+AB320*AC320</f>
        <v>-2.4999999999999994E-2</v>
      </c>
      <c r="AE319" s="3">
        <f>1/(1+EXP(-AD319))</f>
        <v>0.49375032550048964</v>
      </c>
      <c r="AF319"/>
    </row>
    <row r="320" spans="1:32" x14ac:dyDescent="0.3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 s="3">
        <f t="shared" ref="T320:T326" si="81">$O$19</f>
        <v>0.2</v>
      </c>
      <c r="U320" s="3">
        <f>U307 + $O$7 * T291 * T300</f>
        <v>0</v>
      </c>
      <c r="V320" s="3">
        <f>T319*U321+T320*U322</f>
        <v>0</v>
      </c>
      <c r="W320" s="3">
        <f>1/(1+EXP(-V320))</f>
        <v>0.5</v>
      </c>
      <c r="X320" s="3">
        <f>W320</f>
        <v>0.5</v>
      </c>
      <c r="Y320" s="3">
        <f>Y292 + $O$7 * X292 * X300</f>
        <v>0</v>
      </c>
      <c r="Z320" s="3">
        <f>X319*Y321+X320*Y322</f>
        <v>0</v>
      </c>
      <c r="AA320" s="3">
        <f>1/(1+EXP(-Z320))</f>
        <v>0.5</v>
      </c>
      <c r="AB320" s="3">
        <f>AA320</f>
        <v>0.5</v>
      </c>
      <c r="AC320" s="3">
        <f>AC292 + $P$19 * AB292 * AB300</f>
        <v>-2.4999999999999994E-2</v>
      </c>
      <c r="AD320" s="3"/>
      <c r="AE320" s="3"/>
      <c r="AF320"/>
    </row>
    <row r="321" spans="1:32" x14ac:dyDescent="0.3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 s="3">
        <f t="shared" si="81"/>
        <v>0.2</v>
      </c>
      <c r="U321" s="3">
        <f>U308 + $O$7 * T291 * T301</f>
        <v>0</v>
      </c>
      <c r="V321" s="3"/>
      <c r="W321" s="3"/>
      <c r="X321" s="3"/>
      <c r="Y321" s="3">
        <f>Y293 + $O$7 * X291 * X301</f>
        <v>0</v>
      </c>
      <c r="Z321" s="3"/>
      <c r="AA321" s="3"/>
      <c r="AB321" s="3"/>
      <c r="AC321" s="3"/>
      <c r="AD321" s="3"/>
      <c r="AE321" s="3"/>
      <c r="AF321"/>
    </row>
    <row r="322" spans="1:32" x14ac:dyDescent="0.3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 s="3">
        <f t="shared" si="81"/>
        <v>0.2</v>
      </c>
      <c r="U322" s="3">
        <f>U309 + $O$7 * T291 * T301</f>
        <v>0</v>
      </c>
      <c r="V322" s="3"/>
      <c r="W322" s="3"/>
      <c r="X322" s="3"/>
      <c r="Y322" s="3">
        <f>Y294 + $O$7 * X292* X301</f>
        <v>0</v>
      </c>
      <c r="Z322" s="3"/>
      <c r="AA322" s="3"/>
      <c r="AB322" s="3"/>
      <c r="AC322" s="3"/>
      <c r="AD322" s="3"/>
      <c r="AE322" s="3"/>
      <c r="AF322"/>
    </row>
    <row r="323" spans="1:32" x14ac:dyDescent="0.3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 s="3">
        <f t="shared" si="81"/>
        <v>0.2</v>
      </c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/>
    </row>
    <row r="324" spans="1:32" x14ac:dyDescent="0.3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 s="3">
        <f t="shared" si="81"/>
        <v>0.2</v>
      </c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/>
    </row>
    <row r="325" spans="1:32" x14ac:dyDescent="0.3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 s="3">
        <f t="shared" si="81"/>
        <v>0.2</v>
      </c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/>
    </row>
    <row r="326" spans="1:32" x14ac:dyDescent="0.3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 s="3">
        <f t="shared" si="81"/>
        <v>0.2</v>
      </c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/>
    </row>
    <row r="327" spans="1:32" x14ac:dyDescent="0.3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</row>
    <row r="328" spans="1:32" x14ac:dyDescent="0.3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</row>
    <row r="329" spans="1:32" x14ac:dyDescent="0.3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</row>
    <row r="330" spans="1:32" x14ac:dyDescent="0.3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</row>
    <row r="331" spans="1:32" x14ac:dyDescent="0.3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</row>
    <row r="332" spans="1:32" x14ac:dyDescent="0.3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</row>
    <row r="333" spans="1:32" x14ac:dyDescent="0.3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</row>
    <row r="334" spans="1:32" x14ac:dyDescent="0.3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</row>
    <row r="335" spans="1:32" x14ac:dyDescent="0.3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</row>
    <row r="336" spans="1:32" x14ac:dyDescent="0.3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</row>
    <row r="337" spans="1:32" x14ac:dyDescent="0.3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</row>
    <row r="338" spans="1:32" x14ac:dyDescent="0.3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</row>
    <row r="339" spans="1:32" x14ac:dyDescent="0.3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</row>
    <row r="340" spans="1:32" x14ac:dyDescent="0.3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</row>
    <row r="341" spans="1:32" x14ac:dyDescent="0.3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</row>
    <row r="342" spans="1:32" x14ac:dyDescent="0.3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</row>
    <row r="343" spans="1:32" x14ac:dyDescent="0.3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</row>
    <row r="344" spans="1:32" x14ac:dyDescent="0.3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</row>
    <row r="345" spans="1:32" x14ac:dyDescent="0.3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</row>
    <row r="346" spans="1:32" x14ac:dyDescent="0.3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</row>
    <row r="347" spans="1:32" x14ac:dyDescent="0.3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</row>
    <row r="348" spans="1:32" x14ac:dyDescent="0.3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</row>
    <row r="349" spans="1:32" x14ac:dyDescent="0.3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</row>
    <row r="350" spans="1:32" x14ac:dyDescent="0.3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</row>
    <row r="351" spans="1:32" x14ac:dyDescent="0.3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</row>
    <row r="352" spans="1:32" x14ac:dyDescent="0.3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</row>
    <row r="353" spans="1:32" x14ac:dyDescent="0.3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</row>
    <row r="354" spans="1:32" x14ac:dyDescent="0.3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</row>
    <row r="355" spans="1:32" x14ac:dyDescent="0.3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</row>
    <row r="356" spans="1:32" x14ac:dyDescent="0.3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</row>
    <row r="357" spans="1:32" x14ac:dyDescent="0.3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</row>
    <row r="358" spans="1:32" x14ac:dyDescent="0.3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</row>
    <row r="359" spans="1:32" x14ac:dyDescent="0.3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</row>
    <row r="360" spans="1:32" x14ac:dyDescent="0.3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</row>
    <row r="361" spans="1:32" x14ac:dyDescent="0.3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</row>
    <row r="362" spans="1:32" x14ac:dyDescent="0.3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</row>
    <row r="363" spans="1:32" x14ac:dyDescent="0.3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</row>
    <row r="364" spans="1:32" x14ac:dyDescent="0.3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</row>
    <row r="365" spans="1:32" x14ac:dyDescent="0.3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</row>
    <row r="366" spans="1:32" x14ac:dyDescent="0.3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</row>
    <row r="367" spans="1:32" x14ac:dyDescent="0.3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</row>
    <row r="368" spans="1:32" x14ac:dyDescent="0.3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</row>
    <row r="369" spans="1:32" x14ac:dyDescent="0.3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</row>
    <row r="370" spans="1:32" x14ac:dyDescent="0.3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</row>
    <row r="371" spans="1:32" x14ac:dyDescent="0.3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</row>
    <row r="372" spans="1:32" x14ac:dyDescent="0.3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</row>
    <row r="373" spans="1:32" x14ac:dyDescent="0.3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</row>
    <row r="374" spans="1:32" x14ac:dyDescent="0.3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</row>
    <row r="375" spans="1:32" x14ac:dyDescent="0.3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</row>
    <row r="376" spans="1:32" x14ac:dyDescent="0.3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</row>
    <row r="377" spans="1:32" x14ac:dyDescent="0.3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</row>
    <row r="378" spans="1:32" x14ac:dyDescent="0.3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</row>
    <row r="379" spans="1:32" x14ac:dyDescent="0.3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</row>
    <row r="380" spans="1:32" x14ac:dyDescent="0.3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</row>
    <row r="381" spans="1:32" x14ac:dyDescent="0.3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</row>
    <row r="382" spans="1:32" x14ac:dyDescent="0.3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</row>
    <row r="383" spans="1:32" x14ac:dyDescent="0.3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</row>
    <row r="384" spans="1:32" x14ac:dyDescent="0.3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</row>
    <row r="385" spans="1:32" x14ac:dyDescent="0.3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</row>
    <row r="386" spans="1:32" x14ac:dyDescent="0.3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</row>
    <row r="387" spans="1:32" x14ac:dyDescent="0.3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</row>
    <row r="388" spans="1:32" x14ac:dyDescent="0.3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</row>
    <row r="389" spans="1:32" x14ac:dyDescent="0.3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</row>
    <row r="390" spans="1:32" x14ac:dyDescent="0.3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</row>
    <row r="391" spans="1:32" x14ac:dyDescent="0.3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</row>
    <row r="392" spans="1:32" x14ac:dyDescent="0.3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</row>
    <row r="393" spans="1:32" x14ac:dyDescent="0.3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</row>
    <row r="394" spans="1:32" x14ac:dyDescent="0.3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</row>
    <row r="395" spans="1:32" x14ac:dyDescent="0.3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</row>
    <row r="396" spans="1:32" x14ac:dyDescent="0.3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</row>
    <row r="397" spans="1:32" x14ac:dyDescent="0.3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</row>
    <row r="398" spans="1:32" x14ac:dyDescent="0.3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</row>
    <row r="399" spans="1:32" x14ac:dyDescent="0.3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</row>
    <row r="400" spans="1:32" x14ac:dyDescent="0.3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</row>
    <row r="401" spans="1:32" x14ac:dyDescent="0.3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</row>
    <row r="402" spans="1:32" x14ac:dyDescent="0.3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</row>
    <row r="403" spans="1:32" x14ac:dyDescent="0.3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</row>
    <row r="404" spans="1:32" x14ac:dyDescent="0.3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</row>
    <row r="405" spans="1:32" x14ac:dyDescent="0.3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</row>
    <row r="406" spans="1:32" x14ac:dyDescent="0.3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</row>
    <row r="407" spans="1:32" x14ac:dyDescent="0.3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</row>
    <row r="408" spans="1:32" x14ac:dyDescent="0.3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</row>
    <row r="409" spans="1:32" x14ac:dyDescent="0.3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</row>
    <row r="410" spans="1:32" x14ac:dyDescent="0.3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</row>
    <row r="411" spans="1:32" x14ac:dyDescent="0.3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</row>
    <row r="412" spans="1:32" x14ac:dyDescent="0.3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</row>
    <row r="413" spans="1:32" x14ac:dyDescent="0.3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</row>
    <row r="414" spans="1:32" x14ac:dyDescent="0.3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</row>
    <row r="415" spans="1:32" x14ac:dyDescent="0.3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</row>
    <row r="416" spans="1:32" x14ac:dyDescent="0.3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</row>
    <row r="417" spans="1:32" x14ac:dyDescent="0.3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</row>
    <row r="418" spans="1:32" x14ac:dyDescent="0.3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</row>
    <row r="419" spans="1:32" x14ac:dyDescent="0.3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</row>
    <row r="420" spans="1:32" x14ac:dyDescent="0.3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</row>
    <row r="421" spans="1:32" x14ac:dyDescent="0.3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</row>
    <row r="422" spans="1:32" x14ac:dyDescent="0.3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</row>
    <row r="423" spans="1:32" x14ac:dyDescent="0.3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</row>
    <row r="424" spans="1:32" x14ac:dyDescent="0.3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</row>
    <row r="425" spans="1:32" x14ac:dyDescent="0.3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</row>
    <row r="426" spans="1:32" x14ac:dyDescent="0.3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</row>
    <row r="427" spans="1:32" x14ac:dyDescent="0.3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</row>
    <row r="428" spans="1:32" x14ac:dyDescent="0.3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</row>
    <row r="429" spans="1:32" x14ac:dyDescent="0.3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</row>
    <row r="430" spans="1:32" x14ac:dyDescent="0.3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</row>
    <row r="431" spans="1:32" x14ac:dyDescent="0.3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</row>
    <row r="432" spans="1:32" x14ac:dyDescent="0.3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</row>
    <row r="433" spans="1:32" x14ac:dyDescent="0.3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</row>
    <row r="434" spans="1:32" x14ac:dyDescent="0.3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</row>
    <row r="435" spans="1:32" x14ac:dyDescent="0.3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</row>
    <row r="436" spans="1:32" x14ac:dyDescent="0.3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</row>
    <row r="437" spans="1:32" x14ac:dyDescent="0.3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</row>
    <row r="438" spans="1:32" x14ac:dyDescent="0.3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</row>
    <row r="439" spans="1:32" x14ac:dyDescent="0.3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</row>
    <row r="440" spans="1:32" x14ac:dyDescent="0.3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</row>
    <row r="441" spans="1:32" x14ac:dyDescent="0.3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</row>
    <row r="442" spans="1:32" x14ac:dyDescent="0.3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</row>
    <row r="443" spans="1:32" x14ac:dyDescent="0.3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</row>
    <row r="444" spans="1:32" x14ac:dyDescent="0.3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</row>
    <row r="445" spans="1:32" x14ac:dyDescent="0.3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</row>
    <row r="446" spans="1:32" x14ac:dyDescent="0.3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</row>
    <row r="447" spans="1:32" x14ac:dyDescent="0.3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</row>
    <row r="448" spans="1:32" x14ac:dyDescent="0.3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</row>
    <row r="449" spans="1:32" x14ac:dyDescent="0.3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</row>
    <row r="450" spans="1:32" x14ac:dyDescent="0.3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</row>
    <row r="451" spans="1:32" x14ac:dyDescent="0.3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</row>
    <row r="452" spans="1:32" x14ac:dyDescent="0.3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</row>
    <row r="453" spans="1:32" x14ac:dyDescent="0.3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</row>
    <row r="454" spans="1:32" x14ac:dyDescent="0.3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</row>
    <row r="455" spans="1:32" x14ac:dyDescent="0.3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</row>
    <row r="456" spans="1:32" x14ac:dyDescent="0.3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</row>
    <row r="457" spans="1:32" x14ac:dyDescent="0.3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</row>
    <row r="458" spans="1:32" x14ac:dyDescent="0.3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</row>
    <row r="459" spans="1:32" x14ac:dyDescent="0.3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</row>
    <row r="460" spans="1:32" x14ac:dyDescent="0.3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</row>
    <row r="461" spans="1:32" x14ac:dyDescent="0.3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</row>
    <row r="462" spans="1:32" x14ac:dyDescent="0.3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</row>
    <row r="463" spans="1:32" x14ac:dyDescent="0.3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</row>
    <row r="464" spans="1:32" x14ac:dyDescent="0.3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</row>
    <row r="465" spans="1:32" x14ac:dyDescent="0.3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</row>
    <row r="466" spans="1:32" x14ac:dyDescent="0.3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</row>
    <row r="467" spans="1:32" x14ac:dyDescent="0.3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</row>
    <row r="468" spans="1:32" x14ac:dyDescent="0.3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</row>
    <row r="469" spans="1:32" x14ac:dyDescent="0.3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</row>
    <row r="470" spans="1:32" x14ac:dyDescent="0.3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</row>
    <row r="471" spans="1:32" x14ac:dyDescent="0.3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</row>
    <row r="472" spans="1:32" x14ac:dyDescent="0.3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</row>
    <row r="473" spans="1:32" x14ac:dyDescent="0.3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</row>
    <row r="474" spans="1:32" x14ac:dyDescent="0.3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</row>
    <row r="475" spans="1:32" x14ac:dyDescent="0.3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</row>
    <row r="476" spans="1:32" x14ac:dyDescent="0.3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</row>
    <row r="477" spans="1:32" x14ac:dyDescent="0.3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</row>
    <row r="478" spans="1:32" x14ac:dyDescent="0.3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</row>
    <row r="479" spans="1:32" x14ac:dyDescent="0.3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</row>
    <row r="480" spans="1:32" x14ac:dyDescent="0.3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</row>
    <row r="481" spans="1:32" x14ac:dyDescent="0.3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</row>
    <row r="482" spans="1:32" x14ac:dyDescent="0.3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</row>
    <row r="483" spans="1:32" x14ac:dyDescent="0.3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</row>
    <row r="484" spans="1:32" x14ac:dyDescent="0.3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</row>
    <row r="485" spans="1:32" x14ac:dyDescent="0.3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</row>
    <row r="486" spans="1:32" x14ac:dyDescent="0.3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</row>
    <row r="487" spans="1:32" x14ac:dyDescent="0.3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</row>
    <row r="488" spans="1:32" x14ac:dyDescent="0.3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</row>
    <row r="489" spans="1:32" x14ac:dyDescent="0.3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</row>
    <row r="490" spans="1:32" x14ac:dyDescent="0.3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</row>
    <row r="491" spans="1:32" x14ac:dyDescent="0.3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</row>
    <row r="492" spans="1:32" x14ac:dyDescent="0.3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</row>
    <row r="493" spans="1:32" x14ac:dyDescent="0.3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</row>
    <row r="494" spans="1:32" x14ac:dyDescent="0.3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</row>
    <row r="495" spans="1:32" x14ac:dyDescent="0.3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</row>
    <row r="496" spans="1:32" x14ac:dyDescent="0.3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</row>
    <row r="497" spans="1:32" x14ac:dyDescent="0.3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</row>
    <row r="498" spans="1:32" x14ac:dyDescent="0.3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</row>
    <row r="499" spans="1:32" x14ac:dyDescent="0.3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</row>
    <row r="500" spans="1:32" x14ac:dyDescent="0.3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</row>
    <row r="501" spans="1:32" x14ac:dyDescent="0.3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</row>
    <row r="502" spans="1:32" x14ac:dyDescent="0.3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</row>
    <row r="503" spans="1:32" x14ac:dyDescent="0.3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</row>
    <row r="504" spans="1:32" x14ac:dyDescent="0.3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</row>
    <row r="505" spans="1:32" x14ac:dyDescent="0.3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</row>
    <row r="506" spans="1:32" x14ac:dyDescent="0.3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</row>
    <row r="507" spans="1:32" x14ac:dyDescent="0.3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</row>
    <row r="508" spans="1:32" x14ac:dyDescent="0.3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</row>
    <row r="509" spans="1:32" x14ac:dyDescent="0.3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</row>
    <row r="510" spans="1:32" x14ac:dyDescent="0.3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</row>
    <row r="511" spans="1:32" x14ac:dyDescent="0.3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</row>
    <row r="512" spans="1:32" x14ac:dyDescent="0.3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</row>
    <row r="513" spans="1:32" x14ac:dyDescent="0.3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</row>
    <row r="514" spans="1:32" x14ac:dyDescent="0.3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</row>
    <row r="515" spans="1:32" x14ac:dyDescent="0.3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</row>
    <row r="516" spans="1:32" x14ac:dyDescent="0.3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</row>
    <row r="517" spans="1:32" x14ac:dyDescent="0.3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</row>
    <row r="518" spans="1:32" x14ac:dyDescent="0.3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</row>
    <row r="519" spans="1:32" x14ac:dyDescent="0.3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</row>
    <row r="520" spans="1:32" x14ac:dyDescent="0.3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</row>
    <row r="521" spans="1:32" x14ac:dyDescent="0.3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</row>
    <row r="522" spans="1:32" x14ac:dyDescent="0.3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</row>
    <row r="523" spans="1:32" x14ac:dyDescent="0.3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</row>
    <row r="524" spans="1:32" x14ac:dyDescent="0.3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</row>
    <row r="525" spans="1:32" x14ac:dyDescent="0.3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</row>
    <row r="526" spans="1:32" x14ac:dyDescent="0.3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</row>
    <row r="527" spans="1:32" x14ac:dyDescent="0.3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</row>
    <row r="528" spans="1:32" x14ac:dyDescent="0.3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</row>
    <row r="529" spans="1:32" x14ac:dyDescent="0.3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</row>
    <row r="530" spans="1:32" x14ac:dyDescent="0.3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</row>
    <row r="531" spans="1:32" x14ac:dyDescent="0.3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</row>
    <row r="532" spans="1:32" x14ac:dyDescent="0.3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</row>
    <row r="533" spans="1:32" x14ac:dyDescent="0.3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</row>
    <row r="534" spans="1:32" x14ac:dyDescent="0.3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</row>
    <row r="535" spans="1:32" x14ac:dyDescent="0.3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</row>
    <row r="536" spans="1:32" x14ac:dyDescent="0.3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</row>
    <row r="537" spans="1:32" x14ac:dyDescent="0.3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</row>
    <row r="538" spans="1:32" x14ac:dyDescent="0.3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</row>
    <row r="539" spans="1:32" x14ac:dyDescent="0.3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</row>
    <row r="540" spans="1:32" x14ac:dyDescent="0.3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</row>
    <row r="541" spans="1:32" x14ac:dyDescent="0.3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</row>
    <row r="542" spans="1:32" x14ac:dyDescent="0.3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</row>
    <row r="543" spans="1:32" x14ac:dyDescent="0.3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</row>
    <row r="544" spans="1:32" x14ac:dyDescent="0.3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</row>
    <row r="545" spans="1:32" x14ac:dyDescent="0.3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</row>
    <row r="546" spans="1:32" x14ac:dyDescent="0.3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</row>
    <row r="547" spans="1:32" x14ac:dyDescent="0.3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</row>
    <row r="548" spans="1:32" x14ac:dyDescent="0.3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</row>
    <row r="549" spans="1:32" x14ac:dyDescent="0.3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</row>
    <row r="550" spans="1:32" x14ac:dyDescent="0.3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</row>
    <row r="551" spans="1:32" x14ac:dyDescent="0.3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</row>
    <row r="552" spans="1:32" x14ac:dyDescent="0.3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</row>
    <row r="553" spans="1:32" x14ac:dyDescent="0.3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</row>
    <row r="554" spans="1:32" x14ac:dyDescent="0.3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</row>
    <row r="555" spans="1:32" x14ac:dyDescent="0.3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</row>
    <row r="556" spans="1:32" x14ac:dyDescent="0.3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</row>
    <row r="557" spans="1:32" x14ac:dyDescent="0.3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</row>
    <row r="558" spans="1:32" x14ac:dyDescent="0.3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</row>
    <row r="559" spans="1:32" x14ac:dyDescent="0.3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</row>
    <row r="560" spans="1:32" x14ac:dyDescent="0.3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</row>
    <row r="561" spans="1:32" x14ac:dyDescent="0.3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</row>
    <row r="562" spans="1:32" x14ac:dyDescent="0.3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</row>
    <row r="563" spans="1:32" x14ac:dyDescent="0.3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</row>
    <row r="564" spans="1:32" x14ac:dyDescent="0.3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</row>
    <row r="565" spans="1:32" x14ac:dyDescent="0.3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</row>
    <row r="566" spans="1:32" x14ac:dyDescent="0.3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</row>
    <row r="567" spans="1:32" x14ac:dyDescent="0.3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</row>
    <row r="568" spans="1:32" x14ac:dyDescent="0.3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</row>
    <row r="569" spans="1:32" x14ac:dyDescent="0.3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</row>
    <row r="570" spans="1:32" x14ac:dyDescent="0.3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</row>
    <row r="571" spans="1:32" x14ac:dyDescent="0.3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</row>
    <row r="572" spans="1:32" x14ac:dyDescent="0.3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</row>
    <row r="573" spans="1:32" x14ac:dyDescent="0.3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</row>
    <row r="574" spans="1:32" x14ac:dyDescent="0.3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</row>
    <row r="575" spans="1:32" x14ac:dyDescent="0.3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</row>
    <row r="576" spans="1:32" x14ac:dyDescent="0.3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</row>
    <row r="577" spans="1:32" x14ac:dyDescent="0.3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</row>
    <row r="578" spans="1:32" x14ac:dyDescent="0.3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</row>
    <row r="579" spans="1:32" x14ac:dyDescent="0.3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</row>
    <row r="580" spans="1:32" x14ac:dyDescent="0.3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</row>
    <row r="581" spans="1:32" x14ac:dyDescent="0.3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</row>
    <row r="582" spans="1:32" x14ac:dyDescent="0.3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</row>
    <row r="583" spans="1:32" x14ac:dyDescent="0.3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</row>
    <row r="584" spans="1:32" x14ac:dyDescent="0.3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</row>
    <row r="585" spans="1:32" x14ac:dyDescent="0.3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</row>
    <row r="586" spans="1:32" x14ac:dyDescent="0.3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</row>
    <row r="587" spans="1:32" x14ac:dyDescent="0.3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</row>
    <row r="588" spans="1:32" x14ac:dyDescent="0.3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</row>
    <row r="589" spans="1:32" x14ac:dyDescent="0.3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</row>
    <row r="590" spans="1:32" x14ac:dyDescent="0.3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</row>
    <row r="591" spans="1:32" x14ac:dyDescent="0.3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</row>
    <row r="592" spans="1:32" x14ac:dyDescent="0.3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</row>
    <row r="593" spans="1:32" x14ac:dyDescent="0.3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</row>
    <row r="594" spans="1:32" x14ac:dyDescent="0.3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</row>
    <row r="595" spans="1:32" x14ac:dyDescent="0.3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</row>
    <row r="596" spans="1:32" x14ac:dyDescent="0.3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</row>
    <row r="597" spans="1:32" x14ac:dyDescent="0.3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</row>
    <row r="598" spans="1:32" x14ac:dyDescent="0.3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</row>
    <row r="599" spans="1:32" x14ac:dyDescent="0.3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</row>
    <row r="600" spans="1:32" x14ac:dyDescent="0.3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</row>
    <row r="601" spans="1:32" x14ac:dyDescent="0.3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</row>
    <row r="602" spans="1:32" x14ac:dyDescent="0.3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</row>
    <row r="603" spans="1:32" x14ac:dyDescent="0.3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</row>
    <row r="604" spans="1:32" x14ac:dyDescent="0.3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</row>
    <row r="605" spans="1:32" x14ac:dyDescent="0.3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</row>
    <row r="606" spans="1:32" x14ac:dyDescent="0.3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</row>
    <row r="607" spans="1:32" x14ac:dyDescent="0.3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</row>
    <row r="608" spans="1:32" x14ac:dyDescent="0.3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</row>
    <row r="609" spans="1:32" x14ac:dyDescent="0.3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</row>
    <row r="610" spans="1:32" x14ac:dyDescent="0.3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</row>
    <row r="611" spans="1:32" x14ac:dyDescent="0.3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</row>
    <row r="612" spans="1:32" x14ac:dyDescent="0.3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</row>
    <row r="613" spans="1:32" x14ac:dyDescent="0.3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</row>
    <row r="614" spans="1:32" x14ac:dyDescent="0.3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</row>
    <row r="615" spans="1:32" x14ac:dyDescent="0.3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</row>
    <row r="616" spans="1:32" x14ac:dyDescent="0.3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</row>
    <row r="617" spans="1:32" x14ac:dyDescent="0.3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</row>
    <row r="618" spans="1:32" x14ac:dyDescent="0.3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</row>
    <row r="619" spans="1:32" x14ac:dyDescent="0.3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</row>
    <row r="620" spans="1:32" x14ac:dyDescent="0.3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</row>
    <row r="621" spans="1:32" x14ac:dyDescent="0.3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</row>
    <row r="622" spans="1:32" x14ac:dyDescent="0.3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</row>
    <row r="623" spans="1:32" x14ac:dyDescent="0.3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</row>
    <row r="624" spans="1:32" x14ac:dyDescent="0.3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</row>
    <row r="625" spans="1:32" x14ac:dyDescent="0.3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</row>
    <row r="626" spans="1:32" x14ac:dyDescent="0.3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</row>
    <row r="627" spans="1:32" x14ac:dyDescent="0.3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</row>
    <row r="628" spans="1:32" x14ac:dyDescent="0.3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</row>
    <row r="629" spans="1:32" x14ac:dyDescent="0.3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</row>
    <row r="630" spans="1:32" x14ac:dyDescent="0.3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</row>
    <row r="631" spans="1:32" x14ac:dyDescent="0.3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</row>
    <row r="632" spans="1:32" x14ac:dyDescent="0.3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</row>
    <row r="633" spans="1:32" x14ac:dyDescent="0.3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</row>
    <row r="634" spans="1:32" x14ac:dyDescent="0.3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</row>
    <row r="635" spans="1:32" x14ac:dyDescent="0.3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</row>
    <row r="636" spans="1:32" x14ac:dyDescent="0.3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</row>
    <row r="637" spans="1:32" x14ac:dyDescent="0.3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</row>
    <row r="638" spans="1:32" x14ac:dyDescent="0.3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</row>
    <row r="639" spans="1:32" x14ac:dyDescent="0.3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</row>
    <row r="640" spans="1:32" x14ac:dyDescent="0.3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</row>
    <row r="641" spans="1:32" x14ac:dyDescent="0.3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</row>
    <row r="642" spans="1:32" x14ac:dyDescent="0.3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</row>
    <row r="643" spans="1:32" x14ac:dyDescent="0.3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</row>
    <row r="644" spans="1:32" x14ac:dyDescent="0.3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</row>
    <row r="645" spans="1:32" x14ac:dyDescent="0.3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</row>
    <row r="646" spans="1:32" x14ac:dyDescent="0.3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</row>
    <row r="647" spans="1:32" x14ac:dyDescent="0.3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</row>
    <row r="648" spans="1:32" x14ac:dyDescent="0.3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</row>
    <row r="649" spans="1:32" x14ac:dyDescent="0.3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</row>
    <row r="650" spans="1:32" x14ac:dyDescent="0.3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</row>
    <row r="651" spans="1:32" x14ac:dyDescent="0.3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</row>
    <row r="652" spans="1:32" x14ac:dyDescent="0.3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</row>
    <row r="653" spans="1:32" x14ac:dyDescent="0.3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</row>
    <row r="654" spans="1:32" x14ac:dyDescent="0.3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</row>
    <row r="655" spans="1:32" x14ac:dyDescent="0.3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</row>
    <row r="656" spans="1:32" x14ac:dyDescent="0.3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</row>
    <row r="657" spans="1:32" x14ac:dyDescent="0.3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</row>
    <row r="658" spans="1:32" x14ac:dyDescent="0.3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</row>
    <row r="659" spans="1:32" x14ac:dyDescent="0.3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</row>
    <row r="660" spans="1:32" x14ac:dyDescent="0.3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</row>
    <row r="661" spans="1:32" x14ac:dyDescent="0.3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</row>
    <row r="662" spans="1:32" x14ac:dyDescent="0.3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</row>
    <row r="663" spans="1:32" x14ac:dyDescent="0.3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</row>
    <row r="664" spans="1:32" x14ac:dyDescent="0.3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</row>
    <row r="665" spans="1:32" x14ac:dyDescent="0.3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</row>
    <row r="666" spans="1:32" x14ac:dyDescent="0.3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</row>
    <row r="667" spans="1:32" x14ac:dyDescent="0.3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</row>
    <row r="668" spans="1:32" x14ac:dyDescent="0.3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</row>
    <row r="669" spans="1:32" x14ac:dyDescent="0.3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</row>
    <row r="670" spans="1:32" x14ac:dyDescent="0.3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</row>
    <row r="671" spans="1:32" x14ac:dyDescent="0.3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</row>
    <row r="672" spans="1:32" x14ac:dyDescent="0.3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</row>
    <row r="673" spans="1:32" x14ac:dyDescent="0.3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</row>
    <row r="674" spans="1:32" x14ac:dyDescent="0.3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</row>
    <row r="675" spans="1:32" x14ac:dyDescent="0.3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</row>
    <row r="676" spans="1:32" x14ac:dyDescent="0.3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</row>
    <row r="677" spans="1:32" x14ac:dyDescent="0.3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</row>
    <row r="678" spans="1:32" x14ac:dyDescent="0.3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</row>
    <row r="679" spans="1:32" x14ac:dyDescent="0.3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</row>
    <row r="680" spans="1:32" x14ac:dyDescent="0.3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</row>
    <row r="681" spans="1:32" x14ac:dyDescent="0.3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</row>
    <row r="682" spans="1:32" x14ac:dyDescent="0.3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</row>
    <row r="683" spans="1:32" x14ac:dyDescent="0.3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</row>
    <row r="684" spans="1:32" x14ac:dyDescent="0.3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</row>
    <row r="685" spans="1:32" x14ac:dyDescent="0.3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</row>
    <row r="686" spans="1:32" x14ac:dyDescent="0.3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</row>
    <row r="687" spans="1:32" x14ac:dyDescent="0.3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</row>
    <row r="688" spans="1:32" x14ac:dyDescent="0.3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</row>
    <row r="689" spans="1:32" x14ac:dyDescent="0.3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</row>
    <row r="690" spans="1:32" x14ac:dyDescent="0.3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</row>
    <row r="691" spans="1:32" x14ac:dyDescent="0.3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</row>
    <row r="692" spans="1:32" x14ac:dyDescent="0.3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</row>
    <row r="693" spans="1:32" x14ac:dyDescent="0.3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</row>
    <row r="694" spans="1:32" x14ac:dyDescent="0.3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</row>
    <row r="695" spans="1:32" x14ac:dyDescent="0.3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</row>
    <row r="696" spans="1:32" x14ac:dyDescent="0.3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</row>
    <row r="697" spans="1:32" x14ac:dyDescent="0.3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</row>
    <row r="698" spans="1:32" x14ac:dyDescent="0.3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</row>
    <row r="699" spans="1:32" x14ac:dyDescent="0.3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</row>
    <row r="700" spans="1:32" x14ac:dyDescent="0.3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</row>
    <row r="701" spans="1:32" x14ac:dyDescent="0.3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</row>
    <row r="702" spans="1:32" x14ac:dyDescent="0.3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</row>
    <row r="703" spans="1:32" x14ac:dyDescent="0.3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</row>
    <row r="704" spans="1:32" x14ac:dyDescent="0.3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</row>
    <row r="705" spans="1:32" x14ac:dyDescent="0.3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</row>
    <row r="706" spans="1:32" x14ac:dyDescent="0.3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</row>
    <row r="707" spans="1:32" x14ac:dyDescent="0.3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</row>
    <row r="708" spans="1:32" x14ac:dyDescent="0.3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</row>
    <row r="709" spans="1:32" x14ac:dyDescent="0.3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</row>
    <row r="710" spans="1:32" x14ac:dyDescent="0.3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</row>
    <row r="711" spans="1:32" x14ac:dyDescent="0.3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</row>
    <row r="712" spans="1:32" x14ac:dyDescent="0.3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</row>
    <row r="713" spans="1:32" x14ac:dyDescent="0.3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</row>
    <row r="714" spans="1:32" x14ac:dyDescent="0.3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</row>
    <row r="715" spans="1:32" x14ac:dyDescent="0.3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</row>
    <row r="716" spans="1:32" x14ac:dyDescent="0.3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</row>
    <row r="717" spans="1:32" x14ac:dyDescent="0.3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</row>
    <row r="718" spans="1:32" x14ac:dyDescent="0.3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</row>
    <row r="719" spans="1:32" x14ac:dyDescent="0.3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</row>
    <row r="720" spans="1:32" x14ac:dyDescent="0.3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</row>
    <row r="721" spans="1:32" x14ac:dyDescent="0.3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</row>
    <row r="722" spans="1:32" x14ac:dyDescent="0.3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</row>
    <row r="723" spans="1:32" x14ac:dyDescent="0.3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</row>
    <row r="724" spans="1:32" x14ac:dyDescent="0.3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</row>
    <row r="725" spans="1:32" x14ac:dyDescent="0.3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</row>
    <row r="726" spans="1:32" x14ac:dyDescent="0.3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</row>
    <row r="727" spans="1:32" x14ac:dyDescent="0.3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</row>
    <row r="728" spans="1:32" x14ac:dyDescent="0.3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</row>
    <row r="729" spans="1:32" x14ac:dyDescent="0.3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</row>
    <row r="730" spans="1:32" x14ac:dyDescent="0.3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</row>
    <row r="731" spans="1:32" x14ac:dyDescent="0.3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</row>
    <row r="732" spans="1:32" x14ac:dyDescent="0.3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</row>
    <row r="733" spans="1:32" x14ac:dyDescent="0.3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</row>
    <row r="734" spans="1:32" x14ac:dyDescent="0.3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</row>
    <row r="735" spans="1:32" x14ac:dyDescent="0.3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</row>
    <row r="736" spans="1:32" x14ac:dyDescent="0.3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</row>
    <row r="737" spans="1:32" x14ac:dyDescent="0.3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</row>
    <row r="738" spans="1:32" x14ac:dyDescent="0.3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</row>
    <row r="739" spans="1:32" x14ac:dyDescent="0.3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</row>
    <row r="740" spans="1:32" x14ac:dyDescent="0.3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</row>
    <row r="741" spans="1:32" x14ac:dyDescent="0.3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</row>
    <row r="742" spans="1:32" x14ac:dyDescent="0.3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</row>
    <row r="743" spans="1:32" x14ac:dyDescent="0.3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</row>
    <row r="744" spans="1:32" x14ac:dyDescent="0.3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</row>
    <row r="745" spans="1:32" x14ac:dyDescent="0.3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</row>
    <row r="746" spans="1:32" x14ac:dyDescent="0.3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</row>
    <row r="747" spans="1:32" x14ac:dyDescent="0.3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</row>
    <row r="748" spans="1:32" x14ac:dyDescent="0.3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</row>
    <row r="749" spans="1:32" x14ac:dyDescent="0.3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</row>
    <row r="750" spans="1:32" x14ac:dyDescent="0.3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</row>
    <row r="751" spans="1:32" x14ac:dyDescent="0.3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</row>
    <row r="752" spans="1:32" x14ac:dyDescent="0.3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</row>
    <row r="753" spans="1:32" x14ac:dyDescent="0.3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</row>
    <row r="754" spans="1:32" x14ac:dyDescent="0.3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</row>
    <row r="755" spans="1:32" x14ac:dyDescent="0.3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</row>
    <row r="756" spans="1:32" x14ac:dyDescent="0.3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</row>
    <row r="757" spans="1:32" x14ac:dyDescent="0.3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</row>
    <row r="758" spans="1:32" x14ac:dyDescent="0.3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</row>
    <row r="759" spans="1:32" x14ac:dyDescent="0.3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</row>
    <row r="760" spans="1:32" x14ac:dyDescent="0.3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</row>
    <row r="761" spans="1:32" x14ac:dyDescent="0.3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</row>
    <row r="762" spans="1:32" x14ac:dyDescent="0.3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</row>
    <row r="763" spans="1:32" x14ac:dyDescent="0.3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</row>
    <row r="764" spans="1:32" x14ac:dyDescent="0.3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</row>
    <row r="765" spans="1:32" x14ac:dyDescent="0.3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</row>
    <row r="766" spans="1:32" x14ac:dyDescent="0.3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</row>
    <row r="767" spans="1:32" x14ac:dyDescent="0.3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</row>
    <row r="768" spans="1:32" x14ac:dyDescent="0.3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</row>
    <row r="769" spans="1:32" x14ac:dyDescent="0.3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</row>
    <row r="770" spans="1:32" x14ac:dyDescent="0.3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</row>
    <row r="771" spans="1:32" x14ac:dyDescent="0.3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</row>
    <row r="772" spans="1:32" x14ac:dyDescent="0.3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</row>
    <row r="773" spans="1:32" x14ac:dyDescent="0.3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</row>
    <row r="774" spans="1:32" x14ac:dyDescent="0.3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</row>
    <row r="775" spans="1:32" x14ac:dyDescent="0.3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</row>
    <row r="776" spans="1:32" x14ac:dyDescent="0.3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</row>
    <row r="777" spans="1:32" x14ac:dyDescent="0.3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</row>
    <row r="778" spans="1:32" x14ac:dyDescent="0.3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</row>
    <row r="779" spans="1:32" x14ac:dyDescent="0.3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</row>
    <row r="780" spans="1:32" x14ac:dyDescent="0.3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</row>
    <row r="781" spans="1:32" x14ac:dyDescent="0.3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</row>
    <row r="782" spans="1:32" x14ac:dyDescent="0.3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</row>
    <row r="783" spans="1:32" x14ac:dyDescent="0.3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</row>
    <row r="784" spans="1:32" x14ac:dyDescent="0.3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</row>
    <row r="785" spans="1:32" x14ac:dyDescent="0.3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</row>
    <row r="786" spans="1:32" x14ac:dyDescent="0.3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</row>
    <row r="787" spans="1:32" x14ac:dyDescent="0.3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</row>
    <row r="788" spans="1:32" x14ac:dyDescent="0.3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</row>
    <row r="789" spans="1:32" x14ac:dyDescent="0.3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</row>
    <row r="790" spans="1:32" x14ac:dyDescent="0.3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</row>
    <row r="791" spans="1:32" x14ac:dyDescent="0.3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</row>
    <row r="792" spans="1:32" x14ac:dyDescent="0.3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</row>
    <row r="793" spans="1:32" x14ac:dyDescent="0.3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</row>
    <row r="794" spans="1:32" x14ac:dyDescent="0.3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</row>
    <row r="795" spans="1:32" x14ac:dyDescent="0.3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</row>
    <row r="796" spans="1:32" x14ac:dyDescent="0.3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</row>
    <row r="797" spans="1:32" x14ac:dyDescent="0.3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</row>
    <row r="798" spans="1:32" x14ac:dyDescent="0.3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</row>
    <row r="799" spans="1:32" x14ac:dyDescent="0.3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</row>
    <row r="800" spans="1:32" x14ac:dyDescent="0.3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</row>
    <row r="801" spans="1:32" x14ac:dyDescent="0.3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</row>
    <row r="802" spans="1:32" x14ac:dyDescent="0.3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</row>
    <row r="803" spans="1:32" x14ac:dyDescent="0.3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</row>
    <row r="804" spans="1:32" x14ac:dyDescent="0.3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</row>
    <row r="805" spans="1:32" x14ac:dyDescent="0.3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</row>
    <row r="806" spans="1:32" x14ac:dyDescent="0.3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</row>
    <row r="807" spans="1:32" x14ac:dyDescent="0.3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</row>
    <row r="808" spans="1:32" x14ac:dyDescent="0.3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</row>
    <row r="809" spans="1:32" x14ac:dyDescent="0.3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</row>
    <row r="810" spans="1:32" x14ac:dyDescent="0.3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</row>
    <row r="811" spans="1:32" x14ac:dyDescent="0.3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</row>
    <row r="812" spans="1:32" x14ac:dyDescent="0.3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</row>
    <row r="813" spans="1:32" x14ac:dyDescent="0.3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</row>
    <row r="814" spans="1:32" x14ac:dyDescent="0.3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</row>
    <row r="815" spans="1:32" x14ac:dyDescent="0.3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</row>
    <row r="816" spans="1:32" x14ac:dyDescent="0.3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</row>
    <row r="817" spans="1:32" x14ac:dyDescent="0.3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</row>
    <row r="818" spans="1:32" x14ac:dyDescent="0.3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</row>
    <row r="819" spans="1:32" x14ac:dyDescent="0.3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</row>
    <row r="820" spans="1:32" x14ac:dyDescent="0.3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</row>
    <row r="821" spans="1:32" x14ac:dyDescent="0.3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</row>
    <row r="822" spans="1:32" x14ac:dyDescent="0.3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</row>
    <row r="823" spans="1:32" x14ac:dyDescent="0.3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</row>
    <row r="824" spans="1:32" x14ac:dyDescent="0.3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</row>
    <row r="825" spans="1:32" x14ac:dyDescent="0.3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</row>
    <row r="826" spans="1:32" x14ac:dyDescent="0.3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</row>
    <row r="827" spans="1:32" x14ac:dyDescent="0.3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</row>
    <row r="828" spans="1:32" x14ac:dyDescent="0.3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</row>
    <row r="829" spans="1:32" x14ac:dyDescent="0.3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</row>
    <row r="830" spans="1:32" x14ac:dyDescent="0.3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</row>
    <row r="831" spans="1:32" x14ac:dyDescent="0.3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</row>
    <row r="832" spans="1:32" x14ac:dyDescent="0.3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</row>
    <row r="833" spans="1:32" x14ac:dyDescent="0.3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</row>
    <row r="834" spans="1:32" x14ac:dyDescent="0.3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</row>
    <row r="835" spans="1:32" x14ac:dyDescent="0.3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</row>
    <row r="836" spans="1:32" x14ac:dyDescent="0.3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</row>
    <row r="837" spans="1:32" x14ac:dyDescent="0.3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</row>
    <row r="838" spans="1:32" x14ac:dyDescent="0.3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</row>
    <row r="839" spans="1:32" x14ac:dyDescent="0.3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</row>
    <row r="840" spans="1:32" x14ac:dyDescent="0.3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</row>
    <row r="841" spans="1:32" x14ac:dyDescent="0.3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</row>
    <row r="842" spans="1:32" x14ac:dyDescent="0.3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</row>
    <row r="843" spans="1:32" x14ac:dyDescent="0.3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</row>
    <row r="844" spans="1:32" x14ac:dyDescent="0.3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</row>
    <row r="845" spans="1:32" x14ac:dyDescent="0.3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</row>
    <row r="846" spans="1:32" x14ac:dyDescent="0.3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</row>
    <row r="847" spans="1:32" x14ac:dyDescent="0.3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</row>
    <row r="848" spans="1:32" x14ac:dyDescent="0.3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</row>
    <row r="849" spans="1:32" x14ac:dyDescent="0.3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</row>
    <row r="850" spans="1:32" x14ac:dyDescent="0.3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</row>
    <row r="851" spans="1:32" x14ac:dyDescent="0.3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</row>
    <row r="852" spans="1:32" x14ac:dyDescent="0.3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</row>
    <row r="853" spans="1:32" x14ac:dyDescent="0.3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</row>
    <row r="854" spans="1:32" x14ac:dyDescent="0.3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</row>
    <row r="855" spans="1:32" x14ac:dyDescent="0.3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</row>
    <row r="856" spans="1:32" x14ac:dyDescent="0.3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</row>
    <row r="857" spans="1:32" x14ac:dyDescent="0.3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</row>
    <row r="858" spans="1:32" x14ac:dyDescent="0.3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</row>
    <row r="859" spans="1:32" x14ac:dyDescent="0.3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</row>
    <row r="860" spans="1:32" x14ac:dyDescent="0.3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</row>
    <row r="861" spans="1:32" x14ac:dyDescent="0.3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</row>
    <row r="862" spans="1:32" x14ac:dyDescent="0.3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</row>
    <row r="863" spans="1:32" x14ac:dyDescent="0.3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</row>
    <row r="864" spans="1:32" x14ac:dyDescent="0.3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</row>
    <row r="865" spans="1:32" x14ac:dyDescent="0.3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</row>
    <row r="866" spans="1:32" x14ac:dyDescent="0.3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</row>
    <row r="867" spans="1:32" x14ac:dyDescent="0.3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</row>
    <row r="868" spans="1:32" x14ac:dyDescent="0.3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</row>
    <row r="869" spans="1:32" x14ac:dyDescent="0.3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</row>
    <row r="870" spans="1:32" x14ac:dyDescent="0.3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</row>
    <row r="871" spans="1:32" x14ac:dyDescent="0.3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</row>
    <row r="872" spans="1:32" x14ac:dyDescent="0.3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</row>
    <row r="873" spans="1:32" x14ac:dyDescent="0.3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</row>
    <row r="874" spans="1:32" x14ac:dyDescent="0.3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</row>
    <row r="875" spans="1:32" x14ac:dyDescent="0.3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</row>
    <row r="876" spans="1:32" x14ac:dyDescent="0.3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</row>
    <row r="877" spans="1:32" x14ac:dyDescent="0.3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</row>
    <row r="878" spans="1:32" x14ac:dyDescent="0.3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</row>
    <row r="879" spans="1:32" x14ac:dyDescent="0.3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</row>
    <row r="880" spans="1:32" x14ac:dyDescent="0.3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</row>
    <row r="881" spans="1:32" x14ac:dyDescent="0.3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</row>
    <row r="882" spans="1:32" x14ac:dyDescent="0.3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</row>
    <row r="883" spans="1:32" x14ac:dyDescent="0.3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</row>
    <row r="884" spans="1:32" x14ac:dyDescent="0.3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</row>
    <row r="885" spans="1:32" x14ac:dyDescent="0.3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</row>
    <row r="886" spans="1:32" x14ac:dyDescent="0.3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</row>
    <row r="887" spans="1:32" x14ac:dyDescent="0.3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</row>
    <row r="888" spans="1:32" x14ac:dyDescent="0.3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</row>
    <row r="889" spans="1:32" x14ac:dyDescent="0.3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</row>
    <row r="890" spans="1:32" x14ac:dyDescent="0.3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</row>
    <row r="891" spans="1:32" x14ac:dyDescent="0.3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</row>
    <row r="892" spans="1:32" x14ac:dyDescent="0.3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</row>
    <row r="893" spans="1:32" x14ac:dyDescent="0.3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</row>
    <row r="894" spans="1:32" x14ac:dyDescent="0.3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</row>
    <row r="895" spans="1:32" x14ac:dyDescent="0.3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</row>
    <row r="896" spans="1:32" x14ac:dyDescent="0.3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</row>
    <row r="897" spans="1:32" x14ac:dyDescent="0.3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</row>
    <row r="898" spans="1:32" x14ac:dyDescent="0.3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</row>
    <row r="899" spans="1:32" x14ac:dyDescent="0.3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</row>
    <row r="900" spans="1:32" x14ac:dyDescent="0.3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</row>
    <row r="901" spans="1:32" x14ac:dyDescent="0.3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</row>
    <row r="902" spans="1:32" x14ac:dyDescent="0.3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</row>
    <row r="903" spans="1:32" x14ac:dyDescent="0.3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</row>
    <row r="904" spans="1:32" x14ac:dyDescent="0.3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</row>
    <row r="905" spans="1:32" x14ac:dyDescent="0.3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</row>
    <row r="906" spans="1:32" x14ac:dyDescent="0.3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</row>
    <row r="907" spans="1:32" x14ac:dyDescent="0.3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</row>
    <row r="908" spans="1:32" x14ac:dyDescent="0.3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</row>
    <row r="909" spans="1:32" x14ac:dyDescent="0.3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</row>
    <row r="910" spans="1:32" x14ac:dyDescent="0.3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</row>
    <row r="911" spans="1:32" x14ac:dyDescent="0.3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</row>
    <row r="912" spans="1:32" x14ac:dyDescent="0.3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</row>
    <row r="913" spans="1:32" x14ac:dyDescent="0.3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</row>
    <row r="914" spans="1:32" x14ac:dyDescent="0.3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</row>
    <row r="915" spans="1:32" x14ac:dyDescent="0.3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</row>
    <row r="916" spans="1:32" x14ac:dyDescent="0.3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</row>
    <row r="917" spans="1:32" x14ac:dyDescent="0.3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</row>
    <row r="918" spans="1:32" x14ac:dyDescent="0.3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</row>
    <row r="919" spans="1:32" x14ac:dyDescent="0.3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</row>
    <row r="920" spans="1:32" x14ac:dyDescent="0.3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</row>
    <row r="921" spans="1:32" x14ac:dyDescent="0.3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</row>
    <row r="922" spans="1:32" x14ac:dyDescent="0.3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</row>
    <row r="923" spans="1:32" x14ac:dyDescent="0.3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</row>
    <row r="924" spans="1:32" x14ac:dyDescent="0.3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</row>
    <row r="925" spans="1:32" x14ac:dyDescent="0.3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</row>
    <row r="926" spans="1:32" x14ac:dyDescent="0.3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</row>
    <row r="927" spans="1:32" x14ac:dyDescent="0.3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</row>
    <row r="928" spans="1:32" x14ac:dyDescent="0.3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</row>
    <row r="929" spans="1:32" x14ac:dyDescent="0.3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</row>
    <row r="930" spans="1:32" x14ac:dyDescent="0.3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</row>
    <row r="931" spans="1:32" x14ac:dyDescent="0.3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</row>
    <row r="932" spans="1:32" x14ac:dyDescent="0.3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</row>
    <row r="933" spans="1:32" x14ac:dyDescent="0.3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</row>
    <row r="934" spans="1:32" x14ac:dyDescent="0.3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</row>
    <row r="935" spans="1:32" x14ac:dyDescent="0.3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</row>
    <row r="936" spans="1:32" x14ac:dyDescent="0.3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</row>
    <row r="937" spans="1:32" x14ac:dyDescent="0.3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</row>
    <row r="938" spans="1:32" x14ac:dyDescent="0.3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</row>
    <row r="939" spans="1:32" x14ac:dyDescent="0.3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</row>
    <row r="940" spans="1:32" x14ac:dyDescent="0.3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</row>
    <row r="941" spans="1:32" x14ac:dyDescent="0.3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</row>
    <row r="942" spans="1:32" x14ac:dyDescent="0.3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</row>
    <row r="943" spans="1:32" x14ac:dyDescent="0.3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</row>
    <row r="944" spans="1:32" x14ac:dyDescent="0.3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</row>
    <row r="945" spans="1:32" x14ac:dyDescent="0.3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</row>
    <row r="946" spans="1:32" x14ac:dyDescent="0.3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</row>
    <row r="947" spans="1:32" x14ac:dyDescent="0.3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</row>
    <row r="948" spans="1:32" x14ac:dyDescent="0.3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</row>
    <row r="949" spans="1:32" x14ac:dyDescent="0.3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</row>
    <row r="950" spans="1:32" x14ac:dyDescent="0.3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</row>
    <row r="951" spans="1:32" x14ac:dyDescent="0.3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</row>
    <row r="952" spans="1:32" x14ac:dyDescent="0.3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</row>
    <row r="953" spans="1:32" x14ac:dyDescent="0.3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</row>
    <row r="954" spans="1:32" x14ac:dyDescent="0.3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</row>
    <row r="955" spans="1:32" x14ac:dyDescent="0.3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</row>
    <row r="956" spans="1:32" x14ac:dyDescent="0.3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</row>
    <row r="957" spans="1:32" x14ac:dyDescent="0.3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</row>
    <row r="958" spans="1:32" x14ac:dyDescent="0.3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</row>
    <row r="959" spans="1:32" x14ac:dyDescent="0.3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</row>
    <row r="960" spans="1:32" x14ac:dyDescent="0.3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</row>
    <row r="961" spans="1:32" x14ac:dyDescent="0.3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</row>
    <row r="962" spans="1:32" x14ac:dyDescent="0.3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</row>
    <row r="963" spans="1:32" x14ac:dyDescent="0.3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</row>
    <row r="964" spans="1:32" x14ac:dyDescent="0.3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</row>
    <row r="965" spans="1:32" x14ac:dyDescent="0.3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</row>
    <row r="966" spans="1:32" x14ac:dyDescent="0.3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</row>
    <row r="967" spans="1:32" x14ac:dyDescent="0.3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</row>
    <row r="968" spans="1:32" x14ac:dyDescent="0.3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</row>
    <row r="969" spans="1:32" x14ac:dyDescent="0.3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</row>
    <row r="970" spans="1:32" x14ac:dyDescent="0.3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</row>
    <row r="971" spans="1:32" x14ac:dyDescent="0.3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</row>
    <row r="972" spans="1:32" x14ac:dyDescent="0.3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</row>
    <row r="973" spans="1:32" x14ac:dyDescent="0.3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</row>
    <row r="974" spans="1:32" x14ac:dyDescent="0.3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</row>
    <row r="975" spans="1:32" x14ac:dyDescent="0.3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</row>
    <row r="976" spans="1:32" x14ac:dyDescent="0.3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</row>
    <row r="977" spans="1:32" x14ac:dyDescent="0.3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</row>
    <row r="978" spans="1:32" x14ac:dyDescent="0.3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</row>
    <row r="979" spans="1:32" x14ac:dyDescent="0.3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</row>
    <row r="980" spans="1:32" x14ac:dyDescent="0.3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</row>
    <row r="981" spans="1:32" x14ac:dyDescent="0.3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</row>
    <row r="982" spans="1:32" x14ac:dyDescent="0.3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</row>
    <row r="983" spans="1:32" x14ac:dyDescent="0.3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</row>
    <row r="984" spans="1:32" x14ac:dyDescent="0.3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</row>
    <row r="985" spans="1:32" x14ac:dyDescent="0.3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</row>
    <row r="986" spans="1:32" x14ac:dyDescent="0.3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</row>
    <row r="987" spans="1:32" x14ac:dyDescent="0.3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</row>
    <row r="988" spans="1:32" x14ac:dyDescent="0.3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</row>
    <row r="989" spans="1:32" x14ac:dyDescent="0.3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</row>
    <row r="990" spans="1:32" x14ac:dyDescent="0.3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</row>
    <row r="991" spans="1:32" x14ac:dyDescent="0.3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</row>
    <row r="992" spans="1:32" x14ac:dyDescent="0.3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</row>
    <row r="993" spans="1:32" x14ac:dyDescent="0.3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</row>
    <row r="994" spans="1:32" x14ac:dyDescent="0.3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</row>
    <row r="995" spans="1:32" x14ac:dyDescent="0.3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</row>
    <row r="996" spans="1:32" x14ac:dyDescent="0.3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</row>
    <row r="997" spans="1:32" x14ac:dyDescent="0.3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</row>
    <row r="998" spans="1:32" x14ac:dyDescent="0.3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</row>
    <row r="999" spans="1:32" x14ac:dyDescent="0.3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</row>
    <row r="1000" spans="1:32" x14ac:dyDescent="0.3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</row>
    <row r="1001" spans="1:32" x14ac:dyDescent="0.3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</row>
    <row r="1002" spans="1:32" x14ac:dyDescent="0.3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</row>
    <row r="1003" spans="1:32" x14ac:dyDescent="0.3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</row>
    <row r="1004" spans="1:32" x14ac:dyDescent="0.3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</row>
    <row r="1005" spans="1:32" x14ac:dyDescent="0.3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</row>
    <row r="1006" spans="1:32" x14ac:dyDescent="0.3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</row>
    <row r="1007" spans="1:32" x14ac:dyDescent="0.3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</row>
    <row r="1008" spans="1:32" x14ac:dyDescent="0.3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</row>
    <row r="1009" spans="1:32" x14ac:dyDescent="0.3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</row>
    <row r="1010" spans="1:32" x14ac:dyDescent="0.3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</row>
    <row r="1011" spans="1:32" x14ac:dyDescent="0.3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</row>
    <row r="1012" spans="1:32" x14ac:dyDescent="0.3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</row>
    <row r="1013" spans="1:32" x14ac:dyDescent="0.3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</row>
    <row r="1014" spans="1:32" x14ac:dyDescent="0.3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</row>
    <row r="1015" spans="1:32" x14ac:dyDescent="0.3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</row>
    <row r="1016" spans="1:32" x14ac:dyDescent="0.3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</row>
    <row r="1017" spans="1:32" x14ac:dyDescent="0.3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</row>
    <row r="1018" spans="1:32" x14ac:dyDescent="0.3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</row>
    <row r="1019" spans="1:32" x14ac:dyDescent="0.3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</row>
    <row r="1020" spans="1:32" x14ac:dyDescent="0.3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</row>
    <row r="1021" spans="1:32" x14ac:dyDescent="0.3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</row>
    <row r="1022" spans="1:32" x14ac:dyDescent="0.3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</row>
    <row r="1023" spans="1:32" x14ac:dyDescent="0.3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</row>
    <row r="1024" spans="1:32" x14ac:dyDescent="0.3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</row>
    <row r="1025" spans="1:32" x14ac:dyDescent="0.3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</row>
    <row r="1026" spans="1:32" x14ac:dyDescent="0.3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</row>
    <row r="1027" spans="1:32" x14ac:dyDescent="0.3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</row>
    <row r="1028" spans="1:32" x14ac:dyDescent="0.3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</row>
    <row r="1029" spans="1:32" x14ac:dyDescent="0.3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</row>
    <row r="1030" spans="1:32" x14ac:dyDescent="0.3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</row>
    <row r="1031" spans="1:32" x14ac:dyDescent="0.3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</row>
    <row r="1032" spans="1:32" x14ac:dyDescent="0.3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</row>
    <row r="1033" spans="1:32" x14ac:dyDescent="0.3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</row>
    <row r="1034" spans="1:32" x14ac:dyDescent="0.3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</row>
    <row r="1035" spans="1:32" x14ac:dyDescent="0.3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</row>
    <row r="1036" spans="1:32" x14ac:dyDescent="0.3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</row>
    <row r="1037" spans="1:32" x14ac:dyDescent="0.3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</row>
    <row r="1038" spans="1:32" x14ac:dyDescent="0.3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</row>
    <row r="1039" spans="1:32" x14ac:dyDescent="0.3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</row>
    <row r="1040" spans="1:32" x14ac:dyDescent="0.3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</row>
    <row r="1041" spans="1:32" x14ac:dyDescent="0.3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</row>
    <row r="1042" spans="1:32" x14ac:dyDescent="0.3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</row>
    <row r="1043" spans="1:32" x14ac:dyDescent="0.3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</row>
    <row r="1044" spans="1:32" x14ac:dyDescent="0.3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</row>
    <row r="1045" spans="1:32" x14ac:dyDescent="0.3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</row>
    <row r="1046" spans="1:32" x14ac:dyDescent="0.3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</row>
    <row r="1047" spans="1:32" x14ac:dyDescent="0.3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</row>
    <row r="1048" spans="1:32" x14ac:dyDescent="0.3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</row>
    <row r="1049" spans="1:32" x14ac:dyDescent="0.3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</row>
    <row r="1050" spans="1:32" x14ac:dyDescent="0.3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</row>
    <row r="1051" spans="1:32" x14ac:dyDescent="0.3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</row>
    <row r="1052" spans="1:32" x14ac:dyDescent="0.3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</row>
    <row r="1053" spans="1:32" x14ac:dyDescent="0.3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</row>
    <row r="1054" spans="1:32" x14ac:dyDescent="0.3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</row>
    <row r="1055" spans="1:32" x14ac:dyDescent="0.3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</row>
    <row r="1056" spans="1:32" x14ac:dyDescent="0.3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</row>
    <row r="1057" spans="1:32" x14ac:dyDescent="0.3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</row>
    <row r="1058" spans="1:32" x14ac:dyDescent="0.3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</row>
    <row r="1059" spans="1:32" x14ac:dyDescent="0.3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</row>
    <row r="1060" spans="1:32" x14ac:dyDescent="0.3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</row>
    <row r="1061" spans="1:32" x14ac:dyDescent="0.3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</row>
    <row r="1062" spans="1:32" x14ac:dyDescent="0.3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</row>
    <row r="1063" spans="1:32" x14ac:dyDescent="0.3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</row>
    <row r="1064" spans="1:32" x14ac:dyDescent="0.3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</row>
    <row r="1065" spans="1:32" x14ac:dyDescent="0.3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</row>
    <row r="1066" spans="1:32" x14ac:dyDescent="0.3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</row>
    <row r="1067" spans="1:32" x14ac:dyDescent="0.3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</row>
    <row r="1068" spans="1:32" x14ac:dyDescent="0.3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</row>
    <row r="1069" spans="1:32" x14ac:dyDescent="0.3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</row>
    <row r="1070" spans="1:32" x14ac:dyDescent="0.3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</row>
    <row r="1071" spans="1:32" x14ac:dyDescent="0.3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</row>
    <row r="1072" spans="1:32" x14ac:dyDescent="0.3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</row>
    <row r="1073" spans="1:32" x14ac:dyDescent="0.3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</row>
    <row r="1074" spans="1:32" x14ac:dyDescent="0.3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</row>
    <row r="1075" spans="1:32" x14ac:dyDescent="0.3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</row>
    <row r="1076" spans="1:32" x14ac:dyDescent="0.3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</row>
    <row r="1077" spans="1:32" x14ac:dyDescent="0.3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</row>
    <row r="1078" spans="1:32" x14ac:dyDescent="0.3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</row>
    <row r="1079" spans="1:32" x14ac:dyDescent="0.3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</row>
    <row r="1080" spans="1:32" x14ac:dyDescent="0.3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</row>
    <row r="1081" spans="1:32" x14ac:dyDescent="0.3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</row>
    <row r="1082" spans="1:32" x14ac:dyDescent="0.3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</row>
    <row r="1083" spans="1:32" x14ac:dyDescent="0.3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</row>
    <row r="1084" spans="1:32" x14ac:dyDescent="0.3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</row>
    <row r="1085" spans="1:32" x14ac:dyDescent="0.3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</row>
    <row r="1086" spans="1:32" x14ac:dyDescent="0.3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</row>
    <row r="1087" spans="1:32" x14ac:dyDescent="0.3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</row>
    <row r="1088" spans="1:32" x14ac:dyDescent="0.3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</row>
    <row r="1089" spans="1:32" x14ac:dyDescent="0.3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</row>
    <row r="1090" spans="1:32" x14ac:dyDescent="0.3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</row>
    <row r="1091" spans="1:32" x14ac:dyDescent="0.3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</row>
    <row r="1092" spans="1:32" x14ac:dyDescent="0.3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</row>
    <row r="1093" spans="1:32" x14ac:dyDescent="0.3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</row>
    <row r="1094" spans="1:32" x14ac:dyDescent="0.3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</row>
    <row r="1095" spans="1:32" x14ac:dyDescent="0.3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</row>
    <row r="1096" spans="1:32" x14ac:dyDescent="0.3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</row>
    <row r="1097" spans="1:32" x14ac:dyDescent="0.3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</row>
    <row r="1098" spans="1:32" x14ac:dyDescent="0.3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</row>
    <row r="1099" spans="1:32" x14ac:dyDescent="0.3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</row>
    <row r="1100" spans="1:32" x14ac:dyDescent="0.3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</row>
    <row r="1101" spans="1:32" x14ac:dyDescent="0.3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</row>
    <row r="1102" spans="1:32" x14ac:dyDescent="0.3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</row>
    <row r="1103" spans="1:32" x14ac:dyDescent="0.3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</row>
    <row r="1104" spans="1:32" x14ac:dyDescent="0.3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</row>
    <row r="1105" spans="1:32" x14ac:dyDescent="0.3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</row>
    <row r="1106" spans="1:32" x14ac:dyDescent="0.3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</row>
    <row r="1107" spans="1:32" x14ac:dyDescent="0.3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</row>
    <row r="1108" spans="1:32" x14ac:dyDescent="0.3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</row>
    <row r="1109" spans="1:32" x14ac:dyDescent="0.3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</row>
    <row r="1110" spans="1:32" x14ac:dyDescent="0.3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</row>
    <row r="1111" spans="1:32" x14ac:dyDescent="0.3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</row>
    <row r="1112" spans="1:32" x14ac:dyDescent="0.3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</row>
    <row r="1113" spans="1:32" x14ac:dyDescent="0.3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</row>
    <row r="1114" spans="1:32" x14ac:dyDescent="0.3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</row>
    <row r="1115" spans="1:32" x14ac:dyDescent="0.3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</row>
    <row r="1116" spans="1:32" x14ac:dyDescent="0.3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</row>
    <row r="1117" spans="1:32" x14ac:dyDescent="0.3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</row>
    <row r="1118" spans="1:32" x14ac:dyDescent="0.3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</row>
    <row r="1119" spans="1:32" x14ac:dyDescent="0.3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</row>
    <row r="1120" spans="1:32" x14ac:dyDescent="0.3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</row>
    <row r="1121" spans="1:32" x14ac:dyDescent="0.3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</row>
    <row r="1122" spans="1:32" x14ac:dyDescent="0.3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</row>
    <row r="1123" spans="1:32" x14ac:dyDescent="0.3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</row>
    <row r="1124" spans="1:32" x14ac:dyDescent="0.3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</row>
    <row r="1125" spans="1:32" x14ac:dyDescent="0.3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</row>
    <row r="1126" spans="1:32" x14ac:dyDescent="0.3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</row>
    <row r="1127" spans="1:32" x14ac:dyDescent="0.3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</row>
    <row r="1128" spans="1:32" x14ac:dyDescent="0.3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</row>
    <row r="1129" spans="1:32" x14ac:dyDescent="0.3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</row>
    <row r="1130" spans="1:32" x14ac:dyDescent="0.3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</row>
    <row r="1131" spans="1:32" x14ac:dyDescent="0.3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</row>
    <row r="1132" spans="1:32" x14ac:dyDescent="0.3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</row>
    <row r="1133" spans="1:32" x14ac:dyDescent="0.3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</row>
    <row r="1134" spans="1:32" x14ac:dyDescent="0.3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</row>
    <row r="1135" spans="1:32" x14ac:dyDescent="0.3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</row>
    <row r="1136" spans="1:32" x14ac:dyDescent="0.3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</row>
    <row r="1137" spans="1:32" x14ac:dyDescent="0.3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</row>
    <row r="1138" spans="1:32" x14ac:dyDescent="0.3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</row>
    <row r="1139" spans="1:32" x14ac:dyDescent="0.3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</row>
    <row r="1140" spans="1:32" x14ac:dyDescent="0.3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</row>
    <row r="1141" spans="1:32" x14ac:dyDescent="0.3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</row>
    <row r="1142" spans="1:32" x14ac:dyDescent="0.3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</row>
    <row r="1143" spans="1:32" x14ac:dyDescent="0.3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</row>
    <row r="1144" spans="1:32" x14ac:dyDescent="0.3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</row>
    <row r="1145" spans="1:32" x14ac:dyDescent="0.3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</row>
    <row r="1146" spans="1:32" x14ac:dyDescent="0.3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</row>
    <row r="1147" spans="1:32" x14ac:dyDescent="0.3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</row>
    <row r="1148" spans="1:32" x14ac:dyDescent="0.3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</row>
    <row r="1149" spans="1:32" x14ac:dyDescent="0.3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</row>
    <row r="1150" spans="1:32" x14ac:dyDescent="0.3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</row>
    <row r="1151" spans="1:32" x14ac:dyDescent="0.3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</row>
    <row r="1152" spans="1:32" x14ac:dyDescent="0.3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</row>
    <row r="1153" spans="1:32" x14ac:dyDescent="0.3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</row>
    <row r="1154" spans="1:32" x14ac:dyDescent="0.3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</row>
    <row r="1155" spans="1:32" x14ac:dyDescent="0.3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</row>
    <row r="1156" spans="1:32" x14ac:dyDescent="0.3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</row>
    <row r="1157" spans="1:32" x14ac:dyDescent="0.3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</row>
    <row r="1158" spans="1:32" x14ac:dyDescent="0.3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</row>
    <row r="1159" spans="1:32" x14ac:dyDescent="0.3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</row>
    <row r="1160" spans="1:32" x14ac:dyDescent="0.3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</row>
    <row r="1161" spans="1:32" x14ac:dyDescent="0.3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</row>
    <row r="1162" spans="1:32" x14ac:dyDescent="0.3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</row>
    <row r="1163" spans="1:32" x14ac:dyDescent="0.3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</row>
    <row r="1164" spans="1:32" x14ac:dyDescent="0.3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</row>
    <row r="1165" spans="1:32" x14ac:dyDescent="0.3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</row>
    <row r="1166" spans="1:32" x14ac:dyDescent="0.3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</row>
    <row r="1167" spans="1:32" x14ac:dyDescent="0.3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</row>
    <row r="1168" spans="1:32" x14ac:dyDescent="0.3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</row>
    <row r="1169" spans="1:32" x14ac:dyDescent="0.3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</row>
    <row r="1170" spans="1:32" x14ac:dyDescent="0.3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</row>
    <row r="1171" spans="1:32" x14ac:dyDescent="0.3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</row>
    <row r="1172" spans="1:32" x14ac:dyDescent="0.3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</row>
    <row r="1173" spans="1:32" x14ac:dyDescent="0.3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</row>
  </sheetData>
  <mergeCells count="222">
    <mergeCell ref="T316:W317"/>
    <mergeCell ref="X316:AA317"/>
    <mergeCell ref="AB316:AE317"/>
    <mergeCell ref="B288:E289"/>
    <mergeCell ref="F288:I289"/>
    <mergeCell ref="J288:M289"/>
    <mergeCell ref="B303:E304"/>
    <mergeCell ref="F303:I304"/>
    <mergeCell ref="J303:M304"/>
    <mergeCell ref="T303:W304"/>
    <mergeCell ref="X303:AA304"/>
    <mergeCell ref="AB303:AE304"/>
    <mergeCell ref="B300:E300"/>
    <mergeCell ref="F300:I300"/>
    <mergeCell ref="J300:M300"/>
    <mergeCell ref="T300:W300"/>
    <mergeCell ref="X300:AA300"/>
    <mergeCell ref="AB300:AE300"/>
    <mergeCell ref="B301:E301"/>
    <mergeCell ref="F301:I301"/>
    <mergeCell ref="T301:W301"/>
    <mergeCell ref="X301:AA301"/>
    <mergeCell ref="B220:E221"/>
    <mergeCell ref="F220:I221"/>
    <mergeCell ref="J220:M221"/>
    <mergeCell ref="T220:W221"/>
    <mergeCell ref="X220:AA221"/>
    <mergeCell ref="AB220:AE221"/>
    <mergeCell ref="B246:E247"/>
    <mergeCell ref="F246:I247"/>
    <mergeCell ref="J246:M247"/>
    <mergeCell ref="T246:W247"/>
    <mergeCell ref="X246:AA247"/>
    <mergeCell ref="AB246:AE247"/>
    <mergeCell ref="B179:E180"/>
    <mergeCell ref="F179:I180"/>
    <mergeCell ref="J179:M180"/>
    <mergeCell ref="T179:W180"/>
    <mergeCell ref="X179:AA180"/>
    <mergeCell ref="AB179:AE180"/>
    <mergeCell ref="T192:W193"/>
    <mergeCell ref="X192:AA193"/>
    <mergeCell ref="AB192:AE193"/>
    <mergeCell ref="B176:E176"/>
    <mergeCell ref="F176:I176"/>
    <mergeCell ref="J176:M176"/>
    <mergeCell ref="T176:W176"/>
    <mergeCell ref="X176:AA176"/>
    <mergeCell ref="AB176:AE176"/>
    <mergeCell ref="B177:E177"/>
    <mergeCell ref="F177:I177"/>
    <mergeCell ref="T177:W177"/>
    <mergeCell ref="X177:AA177"/>
    <mergeCell ref="T69:W70"/>
    <mergeCell ref="X69:AA70"/>
    <mergeCell ref="AB69:AE70"/>
    <mergeCell ref="B97:E98"/>
    <mergeCell ref="F97:I98"/>
    <mergeCell ref="J97:M98"/>
    <mergeCell ref="T97:W98"/>
    <mergeCell ref="X97:AA98"/>
    <mergeCell ref="AB97:AE98"/>
    <mergeCell ref="B94:E94"/>
    <mergeCell ref="F94:I94"/>
    <mergeCell ref="J94:M94"/>
    <mergeCell ref="B95:E95"/>
    <mergeCell ref="F95:I95"/>
    <mergeCell ref="T53:W53"/>
    <mergeCell ref="X53:AA53"/>
    <mergeCell ref="AB53:AE53"/>
    <mergeCell ref="B54:E54"/>
    <mergeCell ref="F54:I54"/>
    <mergeCell ref="T54:W54"/>
    <mergeCell ref="X54:AA54"/>
    <mergeCell ref="B56:E57"/>
    <mergeCell ref="F56:I57"/>
    <mergeCell ref="J56:M57"/>
    <mergeCell ref="T56:W57"/>
    <mergeCell ref="X56:AA57"/>
    <mergeCell ref="AB56:AE57"/>
    <mergeCell ref="AI29:AL30"/>
    <mergeCell ref="AM29:AP30"/>
    <mergeCell ref="AQ29:AT30"/>
    <mergeCell ref="AI41:AL41"/>
    <mergeCell ref="AM41:AP41"/>
    <mergeCell ref="AQ41:AT41"/>
    <mergeCell ref="AI42:AL42"/>
    <mergeCell ref="AM42:AP42"/>
    <mergeCell ref="AI44:AL45"/>
    <mergeCell ref="AM44:AP45"/>
    <mergeCell ref="AQ44:AT45"/>
    <mergeCell ref="AI1:AL2"/>
    <mergeCell ref="AM1:AP2"/>
    <mergeCell ref="AQ1:AT2"/>
    <mergeCell ref="AI13:AL13"/>
    <mergeCell ref="AM13:AP13"/>
    <mergeCell ref="AQ13:AT13"/>
    <mergeCell ref="AI14:AL14"/>
    <mergeCell ref="AM14:AP14"/>
    <mergeCell ref="AI16:AL17"/>
    <mergeCell ref="AM16:AP17"/>
    <mergeCell ref="AQ16:AT17"/>
    <mergeCell ref="T261:W262"/>
    <mergeCell ref="X261:AA262"/>
    <mergeCell ref="AB261:AE262"/>
    <mergeCell ref="T274:W275"/>
    <mergeCell ref="X274:AA275"/>
    <mergeCell ref="AB274:AE275"/>
    <mergeCell ref="T288:W289"/>
    <mergeCell ref="X288:AA289"/>
    <mergeCell ref="T233:W234"/>
    <mergeCell ref="X233:AA234"/>
    <mergeCell ref="AB233:AE234"/>
    <mergeCell ref="T258:W258"/>
    <mergeCell ref="X258:AA258"/>
    <mergeCell ref="AB258:AE258"/>
    <mergeCell ref="T259:W259"/>
    <mergeCell ref="X259:AA259"/>
    <mergeCell ref="AB288:AE289"/>
    <mergeCell ref="T205:W206"/>
    <mergeCell ref="X205:AA206"/>
    <mergeCell ref="AB205:AE206"/>
    <mergeCell ref="T217:W217"/>
    <mergeCell ref="X217:AA217"/>
    <mergeCell ref="AB217:AE217"/>
    <mergeCell ref="T218:W218"/>
    <mergeCell ref="X218:AA218"/>
    <mergeCell ref="T138:W139"/>
    <mergeCell ref="X138:AA139"/>
    <mergeCell ref="AB138:AE139"/>
    <mergeCell ref="T151:W152"/>
    <mergeCell ref="X151:AA152"/>
    <mergeCell ref="AB151:AE152"/>
    <mergeCell ref="T164:W165"/>
    <mergeCell ref="X164:AA165"/>
    <mergeCell ref="AB164:AE165"/>
    <mergeCell ref="T123:W124"/>
    <mergeCell ref="X123:AA124"/>
    <mergeCell ref="AB123:AE124"/>
    <mergeCell ref="T135:W135"/>
    <mergeCell ref="X135:AA135"/>
    <mergeCell ref="AB135:AE135"/>
    <mergeCell ref="T136:W136"/>
    <mergeCell ref="X136:AA136"/>
    <mergeCell ref="T82:W83"/>
    <mergeCell ref="X82:AA83"/>
    <mergeCell ref="AB82:AE83"/>
    <mergeCell ref="T94:W94"/>
    <mergeCell ref="X94:AA94"/>
    <mergeCell ref="AB94:AE94"/>
    <mergeCell ref="T95:W95"/>
    <mergeCell ref="X95:AA95"/>
    <mergeCell ref="T110:W111"/>
    <mergeCell ref="X110:AA111"/>
    <mergeCell ref="AB110:AE111"/>
    <mergeCell ref="T14:W14"/>
    <mergeCell ref="X14:AA14"/>
    <mergeCell ref="T29:W30"/>
    <mergeCell ref="X29:AA30"/>
    <mergeCell ref="AB29:AE30"/>
    <mergeCell ref="T16:W17"/>
    <mergeCell ref="X16:AA17"/>
    <mergeCell ref="AB16:AE17"/>
    <mergeCell ref="T41:W42"/>
    <mergeCell ref="X41:AA42"/>
    <mergeCell ref="AB41:AE42"/>
    <mergeCell ref="T1:W2"/>
    <mergeCell ref="X1:AA2"/>
    <mergeCell ref="AB1:AE2"/>
    <mergeCell ref="T13:W13"/>
    <mergeCell ref="X13:AA13"/>
    <mergeCell ref="AB13:AE13"/>
    <mergeCell ref="B261:E262"/>
    <mergeCell ref="F261:I262"/>
    <mergeCell ref="J261:M262"/>
    <mergeCell ref="B258:E258"/>
    <mergeCell ref="F258:I258"/>
    <mergeCell ref="J258:M258"/>
    <mergeCell ref="B259:E259"/>
    <mergeCell ref="F259:I259"/>
    <mergeCell ref="B205:E206"/>
    <mergeCell ref="F205:I206"/>
    <mergeCell ref="J205:M206"/>
    <mergeCell ref="B217:E217"/>
    <mergeCell ref="F217:I217"/>
    <mergeCell ref="J217:M217"/>
    <mergeCell ref="B218:E218"/>
    <mergeCell ref="F218:I218"/>
    <mergeCell ref="B138:E139"/>
    <mergeCell ref="F138:I139"/>
    <mergeCell ref="J138:M139"/>
    <mergeCell ref="B164:E165"/>
    <mergeCell ref="F164:I165"/>
    <mergeCell ref="J164:M165"/>
    <mergeCell ref="B123:E124"/>
    <mergeCell ref="F123:I124"/>
    <mergeCell ref="J123:M124"/>
    <mergeCell ref="B135:E135"/>
    <mergeCell ref="F135:I135"/>
    <mergeCell ref="J135:M135"/>
    <mergeCell ref="B136:E136"/>
    <mergeCell ref="F136:I136"/>
    <mergeCell ref="B1:E2"/>
    <mergeCell ref="F1:I2"/>
    <mergeCell ref="J1:M2"/>
    <mergeCell ref="B13:E13"/>
    <mergeCell ref="F13:I13"/>
    <mergeCell ref="J13:M13"/>
    <mergeCell ref="F14:I14"/>
    <mergeCell ref="B14:E14"/>
    <mergeCell ref="B82:E83"/>
    <mergeCell ref="F82:I83"/>
    <mergeCell ref="J82:M83"/>
    <mergeCell ref="B16:E17"/>
    <mergeCell ref="F16:I17"/>
    <mergeCell ref="J16:M17"/>
    <mergeCell ref="B41:E42"/>
    <mergeCell ref="F41:I42"/>
    <mergeCell ref="J41:M42"/>
    <mergeCell ref="B53:E53"/>
    <mergeCell ref="F53:I53"/>
    <mergeCell ref="J53:M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 (2)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GAREL Aurélien</dc:creator>
  <cp:lastModifiedBy>GAREL Aurélien</cp:lastModifiedBy>
  <dcterms:created xsi:type="dcterms:W3CDTF">2024-04-11T18:38:47Z</dcterms:created>
  <dcterms:modified xsi:type="dcterms:W3CDTF">2025-01-22T14:13:54Z</dcterms:modified>
</cp:coreProperties>
</file>